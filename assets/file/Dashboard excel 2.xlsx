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3.xml" ContentType="application/vnd.ms-excel.controlproperti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geis/University/Semester 2/portfolio-hcj/assets/file/"/>
    </mc:Choice>
  </mc:AlternateContent>
  <xr:revisionPtr revIDLastSave="0" documentId="13_ncr:1_{773A27A1-AE0F-CA49-8705-88880A43D366}" xr6:coauthVersionLast="47" xr6:coauthVersionMax="47" xr10:uidLastSave="{00000000-0000-0000-0000-000000000000}"/>
  <bookViews>
    <workbookView xWindow="1040" yWindow="500" windowWidth="29380" windowHeight="20500" activeTab="2" xr2:uid="{14C164FE-AEBB-0542-98F9-37D05B66DD51}"/>
  </bookViews>
  <sheets>
    <sheet name="Data" sheetId="1" r:id="rId1"/>
    <sheet name="Tabel Bantuan" sheetId="2" r:id="rId2"/>
    <sheet name="Dashboard" sheetId="3" r:id="rId3"/>
    <sheet name="Penjelasan" sheetId="4" r:id="rId4"/>
  </sheets>
  <definedNames>
    <definedName name="_xlnm.Print_Area" localSheetId="2">Dashboard!$A$1:$L$31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8" i="2" l="1"/>
  <c r="E19" i="2"/>
  <c r="E20" i="2"/>
  <c r="E21" i="2"/>
  <c r="E22" i="2"/>
  <c r="E17" i="2"/>
  <c r="F32" i="2"/>
  <c r="I15" i="3"/>
  <c r="I10" i="3"/>
  <c r="I6" i="3"/>
  <c r="J23" i="2" l="1"/>
  <c r="J20" i="2"/>
  <c r="M4" i="2"/>
  <c r="P4" i="2"/>
  <c r="BP7" i="1" l="1"/>
  <c r="BP8" i="1"/>
  <c r="BP9" i="1"/>
  <c r="BP10" i="1"/>
  <c r="BP11" i="1"/>
  <c r="BP12" i="1"/>
  <c r="BP13" i="1"/>
  <c r="BP14" i="1"/>
  <c r="BP15" i="1"/>
  <c r="BP16" i="1"/>
  <c r="BP17" i="1"/>
  <c r="BP18" i="1"/>
  <c r="BP19" i="1"/>
  <c r="BP20" i="1"/>
  <c r="BP21" i="1"/>
  <c r="BP23" i="1"/>
  <c r="BP24" i="1"/>
  <c r="BP25" i="1"/>
  <c r="BP26" i="1"/>
  <c r="BP27" i="1"/>
  <c r="BP28" i="1"/>
  <c r="BP29" i="1"/>
  <c r="BP31" i="1"/>
  <c r="BP32" i="1"/>
  <c r="BP33" i="1"/>
  <c r="BP34" i="1"/>
  <c r="BP35" i="1"/>
  <c r="BP36" i="1"/>
  <c r="BP6" i="1"/>
  <c r="B32" i="2"/>
  <c r="B4" i="2"/>
  <c r="B3" i="2" s="1"/>
  <c r="K3" i="2"/>
  <c r="K6" i="2"/>
  <c r="K27" i="2" a="1"/>
  <c r="BP68" i="1"/>
  <c r="BP69" i="1"/>
  <c r="BP70" i="1"/>
  <c r="BP71" i="1"/>
  <c r="BP72" i="1"/>
  <c r="BP73" i="1"/>
  <c r="BP74" i="1"/>
  <c r="BP75" i="1"/>
  <c r="BP76" i="1"/>
  <c r="BP77" i="1"/>
  <c r="BP78" i="1"/>
  <c r="BP79" i="1"/>
  <c r="BP81" i="1"/>
  <c r="BP82" i="1"/>
  <c r="BP83" i="1"/>
  <c r="BP84" i="1"/>
  <c r="BP85" i="1"/>
  <c r="BP86" i="1"/>
  <c r="BP87" i="1"/>
  <c r="BP88" i="1"/>
  <c r="BP89" i="1"/>
  <c r="BP90" i="1"/>
  <c r="BP91" i="1"/>
  <c r="BP92" i="1"/>
  <c r="BP93" i="1"/>
  <c r="BP94" i="1"/>
  <c r="BP95" i="1"/>
  <c r="BP96"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5" i="1"/>
  <c r="BP206" i="1"/>
  <c r="BP207" i="1"/>
  <c r="BP208" i="1"/>
  <c r="BP209" i="1"/>
  <c r="BP210" i="1"/>
  <c r="BP211" i="1"/>
  <c r="BP212" i="1"/>
  <c r="BP213" i="1"/>
  <c r="BP214" i="1"/>
  <c r="BP215" i="1"/>
  <c r="BP216" i="1"/>
  <c r="BP217" i="1"/>
  <c r="BP218" i="1"/>
  <c r="BP219" i="1"/>
  <c r="BP220" i="1"/>
  <c r="BP221" i="1"/>
  <c r="BP222" i="1"/>
  <c r="BP223" i="1"/>
  <c r="BP224" i="1"/>
  <c r="BP225" i="1"/>
  <c r="BP226"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45" i="1"/>
  <c r="BP46" i="1"/>
  <c r="BP47" i="1"/>
  <c r="BP48" i="1"/>
  <c r="BP49" i="1"/>
  <c r="BP50" i="1"/>
  <c r="BP51" i="1"/>
  <c r="BP52" i="1"/>
  <c r="BP53" i="1"/>
  <c r="BP54" i="1"/>
  <c r="BP55" i="1"/>
  <c r="BP57" i="1"/>
  <c r="BP58" i="1"/>
  <c r="BP59" i="1"/>
  <c r="BP60" i="1"/>
  <c r="BP61" i="1"/>
  <c r="BP62" i="1"/>
  <c r="BP63" i="1"/>
  <c r="BP64" i="1"/>
  <c r="BP65" i="1"/>
  <c r="BP66" i="1"/>
  <c r="BP67" i="1"/>
  <c r="O17" i="2"/>
  <c r="O16" i="2"/>
  <c r="O15" i="2"/>
  <c r="O14" i="2"/>
  <c r="O13" i="2"/>
  <c r="O12" i="2"/>
  <c r="O11" i="2"/>
  <c r="N17" i="2"/>
  <c r="N16" i="2"/>
  <c r="N15" i="2"/>
  <c r="N14" i="2"/>
  <c r="N13" i="2"/>
  <c r="N12" i="2"/>
  <c r="N11" i="2"/>
  <c r="M17" i="2"/>
  <c r="M16" i="2"/>
  <c r="M15" i="2"/>
  <c r="M14" i="2"/>
  <c r="M13" i="2"/>
  <c r="M12" i="2"/>
  <c r="M11" i="2"/>
  <c r="L17" i="2"/>
  <c r="L16" i="2"/>
  <c r="L15" i="2"/>
  <c r="L14" i="2"/>
  <c r="L13" i="2"/>
  <c r="L12" i="2"/>
  <c r="L11" i="2"/>
  <c r="K17" i="2"/>
  <c r="K16" i="2"/>
  <c r="K15" i="2"/>
  <c r="K14" i="2"/>
  <c r="K13" i="2"/>
  <c r="K12" i="2"/>
  <c r="K11" i="2"/>
  <c r="D17" i="2"/>
  <c r="D22" i="2" s="1"/>
  <c r="D18" i="2"/>
  <c r="D19" i="2"/>
  <c r="D20" i="2"/>
  <c r="D21" i="2"/>
  <c r="C21" i="2"/>
  <c r="C20" i="2"/>
  <c r="C19" i="2"/>
  <c r="C18" i="2"/>
  <c r="C17" i="2"/>
  <c r="C22" i="2" s="1"/>
  <c r="B21" i="2"/>
  <c r="B20" i="2"/>
  <c r="B19" i="2"/>
  <c r="B18" i="2"/>
  <c r="B17" i="2"/>
  <c r="B22" i="2" s="1"/>
  <c r="B12" i="2"/>
  <c r="B11" i="2"/>
  <c r="B10" i="2"/>
  <c r="B9" i="2"/>
  <c r="B8" i="2"/>
  <c r="A47" i="2" l="1"/>
  <c r="A48" i="2" s="1"/>
  <c r="B48" i="2"/>
  <c r="B47" i="2"/>
  <c r="T14" i="2"/>
  <c r="F7" i="2"/>
  <c r="P12" i="2"/>
  <c r="P13" i="2"/>
  <c r="P14" i="2"/>
  <c r="F4" i="2"/>
  <c r="P15" i="2"/>
  <c r="P16" i="2"/>
  <c r="P11" i="2"/>
  <c r="P17" i="2"/>
  <c r="G20" i="2"/>
  <c r="G24" i="2"/>
  <c r="G23" i="2"/>
  <c r="G16" i="2"/>
  <c r="G29" i="2"/>
  <c r="G28" i="2"/>
  <c r="G25" i="2"/>
  <c r="G26" i="2"/>
  <c r="G27" i="2"/>
  <c r="G11" i="2"/>
  <c r="G14" i="2"/>
  <c r="G15" i="2"/>
  <c r="T21" i="2"/>
  <c r="T17" i="2"/>
  <c r="T20" i="2"/>
  <c r="T19" i="2"/>
  <c r="T18" i="2"/>
  <c r="K27" i="2"/>
  <c r="J27" i="2" s="1" a="1"/>
  <c r="J27" i="2" s="1"/>
  <c r="B49" i="2" l="1"/>
  <c r="J21" i="3"/>
  <c r="G17" i="2"/>
  <c r="F35" i="2"/>
  <c r="S24" i="2"/>
  <c r="J27" i="3" l="1"/>
  <c r="B5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<sst xmlns="http://schemas.openxmlformats.org/spreadsheetml/2006/main" count="593" uniqueCount="350">
  <si>
    <t>Pintu Masuk</t>
  </si>
  <si>
    <t>Januari</t>
  </si>
  <si>
    <t>Februari</t>
  </si>
  <si>
    <t>Maret</t>
  </si>
  <si>
    <t>April</t>
  </si>
  <si>
    <t>Mei</t>
  </si>
  <si>
    <t>Juni</t>
  </si>
  <si>
    <t>Juli</t>
  </si>
  <si>
    <t>Agustus</t>
  </si>
  <si>
    <t>September</t>
  </si>
  <si>
    <t>Oktober</t>
  </si>
  <si>
    <t>November</t>
  </si>
  <si>
    <t>Desember</t>
  </si>
  <si>
    <t>Tahunan</t>
  </si>
  <si>
    <t>A. Pintu Udara</t>
  </si>
  <si>
    <t>Ngurah Rai</t>
  </si>
  <si>
    <t>Soekarno-Hatta</t>
  </si>
  <si>
    <t>Juanda</t>
  </si>
  <si>
    <t>Kualanamu</t>
  </si>
  <si>
    <t>Husein Sastranegara</t>
  </si>
  <si>
    <t>Adi Sucipto</t>
  </si>
  <si>
    <t>Bandara Int. Lombok</t>
  </si>
  <si>
    <t>Sam Ratulangi</t>
  </si>
  <si>
    <t>Minangkabau</t>
  </si>
  <si>
    <t>Sultan Syarif Kasim II</t>
  </si>
  <si>
    <t>Sultan Iskandar Muda</t>
  </si>
  <si>
    <t>Ahmad Yani</t>
  </si>
  <si>
    <t>Supadio</t>
  </si>
  <si>
    <t>Hasanuddin</t>
  </si>
  <si>
    <t>Sultan Badaruddin II</t>
  </si>
  <si>
    <t>Pintu Udara Lainnya</t>
  </si>
  <si>
    <t>B. Pintu Laut</t>
  </si>
  <si>
    <t>Batam</t>
  </si>
  <si>
    <t>Tanjung Uban</t>
  </si>
  <si>
    <t>Tanjung Pinang</t>
  </si>
  <si>
    <t>Tanjung Balai Karimun</t>
  </si>
  <si>
    <t>Tanjung Benoa</t>
  </si>
  <si>
    <t>Tanjung Mas</t>
  </si>
  <si>
    <t>-</t>
  </si>
  <si>
    <t>Pintu Laut Lainnya</t>
  </si>
  <si>
    <t>C. Pintu Darat</t>
  </si>
  <si>
    <t>Jayapura</t>
  </si>
  <si>
    <t>Atambua</t>
  </si>
  <si>
    <t>Entikong</t>
  </si>
  <si>
    <t>Aruk</t>
  </si>
  <si>
    <t>Nanga Badau</t>
  </si>
  <si>
    <t>Pintu Darat Lainnya</t>
  </si>
  <si>
    <t>Jumlah (A+B+C)</t>
  </si>
  <si>
    <t>Lainnya</t>
  </si>
  <si>
    <t>Total</t>
  </si>
  <si>
    <t>Jumlah Kunjungan Wisatawan Mancanegara per bulan ke Indonesia Menurut Pintu Masuk 2021-2025  (Kunjungan)</t>
  </si>
  <si>
    <t>Kebangsaan</t>
  </si>
  <si>
    <t>Malaysia</t>
  </si>
  <si>
    <t>Singapore</t>
  </si>
  <si>
    <t>Timor Leste</t>
  </si>
  <si>
    <t>Indonesia</t>
  </si>
  <si>
    <t>Philippines</t>
  </si>
  <si>
    <t>Thailand</t>
  </si>
  <si>
    <t>Vietnam</t>
  </si>
  <si>
    <t>Myanmar/Burma</t>
  </si>
  <si>
    <t>Brunei Darussalam</t>
  </si>
  <si>
    <t>Kamboja</t>
  </si>
  <si>
    <t>Laos</t>
  </si>
  <si>
    <t>A S E A N</t>
  </si>
  <si>
    <t>Tiongkok</t>
  </si>
  <si>
    <t>India</t>
  </si>
  <si>
    <t>South Korea</t>
  </si>
  <si>
    <t>Japan</t>
  </si>
  <si>
    <t>Turki</t>
  </si>
  <si>
    <t>Mongolia</t>
  </si>
  <si>
    <t>Kazakhstan</t>
  </si>
  <si>
    <t>Pakistan</t>
  </si>
  <si>
    <t>Uzbekistan</t>
  </si>
  <si>
    <t>Bangladesh</t>
  </si>
  <si>
    <t>Nepal</t>
  </si>
  <si>
    <t>Srilanka</t>
  </si>
  <si>
    <t>Other Asia</t>
  </si>
  <si>
    <t>Maladewa</t>
  </si>
  <si>
    <t>Kirgistan</t>
  </si>
  <si>
    <t>Tajikhistan</t>
  </si>
  <si>
    <t>Bhutan</t>
  </si>
  <si>
    <t>Afganistan</t>
  </si>
  <si>
    <t>Turkmenistan</t>
  </si>
  <si>
    <t>Stateless</t>
  </si>
  <si>
    <t>Korea Utara</t>
  </si>
  <si>
    <t>British Indian Ocean Teritory</t>
  </si>
  <si>
    <t>Lain-lain</t>
  </si>
  <si>
    <t>TOTAL ASIA (Excl.ASEAN)</t>
  </si>
  <si>
    <t>Saudi Arabia</t>
  </si>
  <si>
    <t>Oman</t>
  </si>
  <si>
    <t>Egypt</t>
  </si>
  <si>
    <t>Jordan</t>
  </si>
  <si>
    <t>Uni Emirat Arab</t>
  </si>
  <si>
    <t>Yaman</t>
  </si>
  <si>
    <t>Other Middle East</t>
  </si>
  <si>
    <t>Iran</t>
  </si>
  <si>
    <t>Kuwait</t>
  </si>
  <si>
    <t>Irak</t>
  </si>
  <si>
    <t>Syiria</t>
  </si>
  <si>
    <t>Palestina</t>
  </si>
  <si>
    <t>Libanon</t>
  </si>
  <si>
    <t>Bahrain</t>
  </si>
  <si>
    <t>Qatar</t>
  </si>
  <si>
    <t>Israel</t>
  </si>
  <si>
    <t>TOTAL MIDDLE EAST</t>
  </si>
  <si>
    <t>United Kingdom</t>
  </si>
  <si>
    <t>R u s i a</t>
  </si>
  <si>
    <t>France</t>
  </si>
  <si>
    <t>Germany</t>
  </si>
  <si>
    <t>Netherlands</t>
  </si>
  <si>
    <t>I t a l y</t>
  </si>
  <si>
    <t>Spain</t>
  </si>
  <si>
    <t>Polandia</t>
  </si>
  <si>
    <t>Ukraine</t>
  </si>
  <si>
    <t>Sweden</t>
  </si>
  <si>
    <t>Denmark</t>
  </si>
  <si>
    <t>Switzerland</t>
  </si>
  <si>
    <t>Portugal</t>
  </si>
  <si>
    <t>Ceko</t>
  </si>
  <si>
    <t>Irlandia (Ireland)</t>
  </si>
  <si>
    <t>Belgium</t>
  </si>
  <si>
    <t>Norway</t>
  </si>
  <si>
    <t>Romania</t>
  </si>
  <si>
    <t>Austria</t>
  </si>
  <si>
    <t>Hongaria</t>
  </si>
  <si>
    <t>Finland</t>
  </si>
  <si>
    <t>Belarus</t>
  </si>
  <si>
    <t>Lithuania</t>
  </si>
  <si>
    <t>Slovakia</t>
  </si>
  <si>
    <t>Estonia</t>
  </si>
  <si>
    <t>Bulgaria</t>
  </si>
  <si>
    <t>Yunani (Greece)</t>
  </si>
  <si>
    <t>Latvia</t>
  </si>
  <si>
    <t>Croasia</t>
  </si>
  <si>
    <t>Other West Europe</t>
  </si>
  <si>
    <t>Iceland (Islandia)</t>
  </si>
  <si>
    <t>Malta</t>
  </si>
  <si>
    <t>Luxemburg</t>
  </si>
  <si>
    <t>Liechtenstein</t>
  </si>
  <si>
    <t>Monako</t>
  </si>
  <si>
    <t>Andorra</t>
  </si>
  <si>
    <t>San Marino</t>
  </si>
  <si>
    <t>Aruba</t>
  </si>
  <si>
    <t>Scotlandia</t>
  </si>
  <si>
    <t>Vatikan</t>
  </si>
  <si>
    <t>Volta Atas</t>
  </si>
  <si>
    <t>Hellenic</t>
  </si>
  <si>
    <t>Wales</t>
  </si>
  <si>
    <t>Other East Europe</t>
  </si>
  <si>
    <t>Serbia</t>
  </si>
  <si>
    <t>Slovenia</t>
  </si>
  <si>
    <t>Armenia</t>
  </si>
  <si>
    <t>Azerbaijan</t>
  </si>
  <si>
    <t>Cyprus</t>
  </si>
  <si>
    <t>Macedonia</t>
  </si>
  <si>
    <t>Bosnia Herzegovina</t>
  </si>
  <si>
    <t>Georgia</t>
  </si>
  <si>
    <t>Albania</t>
  </si>
  <si>
    <t>Moldova</t>
  </si>
  <si>
    <t>Montenegro</t>
  </si>
  <si>
    <t>Republik Cosovo</t>
  </si>
  <si>
    <t>Siberia</t>
  </si>
  <si>
    <t>Yugoslavia</t>
  </si>
  <si>
    <t>TOTAL EUROPE</t>
  </si>
  <si>
    <t>United States of America</t>
  </si>
  <si>
    <t>Canada</t>
  </si>
  <si>
    <t>Brazilia</t>
  </si>
  <si>
    <t>Kolombia</t>
  </si>
  <si>
    <t>Argentina</t>
  </si>
  <si>
    <t>Mexiko</t>
  </si>
  <si>
    <t>Chili</t>
  </si>
  <si>
    <t>Central America</t>
  </si>
  <si>
    <t>Costarika</t>
  </si>
  <si>
    <t>Guatemala</t>
  </si>
  <si>
    <t>Panama</t>
  </si>
  <si>
    <t>Honduras</t>
  </si>
  <si>
    <t>El Salvador</t>
  </si>
  <si>
    <t>Nicaragua</t>
  </si>
  <si>
    <t>Belize</t>
  </si>
  <si>
    <t>South America</t>
  </si>
  <si>
    <t>Peru</t>
  </si>
  <si>
    <t>Venezuela</t>
  </si>
  <si>
    <t>Ekuador</t>
  </si>
  <si>
    <t>Uruguay</t>
  </si>
  <si>
    <t>Paraguay</t>
  </si>
  <si>
    <t>Bolivia</t>
  </si>
  <si>
    <t>Suriname</t>
  </si>
  <si>
    <t>Guyana</t>
  </si>
  <si>
    <t>Falkland Islands</t>
  </si>
  <si>
    <t>Guiana</t>
  </si>
  <si>
    <t>Other America</t>
  </si>
  <si>
    <t>UNO</t>
  </si>
  <si>
    <t>Kuba</t>
  </si>
  <si>
    <t>Dominika</t>
  </si>
  <si>
    <t>Trinidad &amp; Tobago</t>
  </si>
  <si>
    <t>St. Kitts &amp; Nevis</t>
  </si>
  <si>
    <t>Jamaika</t>
  </si>
  <si>
    <t>Barbados</t>
  </si>
  <si>
    <t>Grenadines (Grenada)</t>
  </si>
  <si>
    <t>St. Lucia</t>
  </si>
  <si>
    <t>Antigua &amp; Barbuda</t>
  </si>
  <si>
    <t>Bahama Islands</t>
  </si>
  <si>
    <t>Haiti</t>
  </si>
  <si>
    <t>Dominika Rep.</t>
  </si>
  <si>
    <t>St. Vincent</t>
  </si>
  <si>
    <t>Alaska</t>
  </si>
  <si>
    <t>Bermuda</t>
  </si>
  <si>
    <t>Martinique</t>
  </si>
  <si>
    <t>Puertorico</t>
  </si>
  <si>
    <t>St. Christopher</t>
  </si>
  <si>
    <t>Guadelope</t>
  </si>
  <si>
    <t>TOTAL AMERICA</t>
  </si>
  <si>
    <t>Australia</t>
  </si>
  <si>
    <t>Papua New Guinea</t>
  </si>
  <si>
    <t>New Zealand</t>
  </si>
  <si>
    <t>Other Oceania</t>
  </si>
  <si>
    <t>Fiji Islands</t>
  </si>
  <si>
    <t>Vanuatu</t>
  </si>
  <si>
    <t>Tonga</t>
  </si>
  <si>
    <t>Solomon Islands</t>
  </si>
  <si>
    <t>Samoa</t>
  </si>
  <si>
    <t>Nauru</t>
  </si>
  <si>
    <t>Palau Rep.</t>
  </si>
  <si>
    <t>Cooks Islands</t>
  </si>
  <si>
    <t>Guam</t>
  </si>
  <si>
    <t>Kaledonia</t>
  </si>
  <si>
    <t>Karibati (Kiribati)</t>
  </si>
  <si>
    <t>Marshall Islands</t>
  </si>
  <si>
    <t>Micronesia Rep.</t>
  </si>
  <si>
    <t>Niue</t>
  </si>
  <si>
    <t>Polynesia</t>
  </si>
  <si>
    <t>Samoa Barat</t>
  </si>
  <si>
    <t>Tuvalu</t>
  </si>
  <si>
    <t>Walis &amp; Futuna</t>
  </si>
  <si>
    <t>TOTAL OCEANIA</t>
  </si>
  <si>
    <t>South Africa</t>
  </si>
  <si>
    <t>Maroko</t>
  </si>
  <si>
    <t>Other Africa</t>
  </si>
  <si>
    <t>Kenya</t>
  </si>
  <si>
    <t>Tunisia</t>
  </si>
  <si>
    <t>Aljazair / Algeria</t>
  </si>
  <si>
    <t>Mauritius</t>
  </si>
  <si>
    <t>Tanzania</t>
  </si>
  <si>
    <t>Libya</t>
  </si>
  <si>
    <t>Nigeria</t>
  </si>
  <si>
    <t>Mozambik</t>
  </si>
  <si>
    <t>Zimbabwe</t>
  </si>
  <si>
    <t>Sudan</t>
  </si>
  <si>
    <t>Somalia</t>
  </si>
  <si>
    <t>Ghana</t>
  </si>
  <si>
    <t>Kamerun</t>
  </si>
  <si>
    <t>Uganda</t>
  </si>
  <si>
    <t>Malagasy (Madagascar)</t>
  </si>
  <si>
    <t>Ethiopia</t>
  </si>
  <si>
    <t>Congo Rep. Dem.</t>
  </si>
  <si>
    <t>Seychelles</t>
  </si>
  <si>
    <t>Burkina Faso</t>
  </si>
  <si>
    <t>Rwanda</t>
  </si>
  <si>
    <t>Zambia</t>
  </si>
  <si>
    <t>Malawi</t>
  </si>
  <si>
    <t>Senegal</t>
  </si>
  <si>
    <t>Comoros</t>
  </si>
  <si>
    <t>Mali</t>
  </si>
  <si>
    <t>Eritrea</t>
  </si>
  <si>
    <t>Chad</t>
  </si>
  <si>
    <t>Sierra Leona</t>
  </si>
  <si>
    <t>Namibia</t>
  </si>
  <si>
    <t>Gambia</t>
  </si>
  <si>
    <t>Bostwana</t>
  </si>
  <si>
    <t>Liberia</t>
  </si>
  <si>
    <t>Swaziland</t>
  </si>
  <si>
    <t>Guinea</t>
  </si>
  <si>
    <t>Cape Verde</t>
  </si>
  <si>
    <t>Ivory Coast (Pantai Gading)</t>
  </si>
  <si>
    <t>Congo</t>
  </si>
  <si>
    <t>Burundi</t>
  </si>
  <si>
    <t>Mauritania</t>
  </si>
  <si>
    <t>Togo</t>
  </si>
  <si>
    <t>Gabon</t>
  </si>
  <si>
    <t>Lesotho</t>
  </si>
  <si>
    <t>South Sudan</t>
  </si>
  <si>
    <t>Niger</t>
  </si>
  <si>
    <t>Djibouti</t>
  </si>
  <si>
    <t>Guinea Equator</t>
  </si>
  <si>
    <t>Afrika Tengah Rep.</t>
  </si>
  <si>
    <t>Angola</t>
  </si>
  <si>
    <t>Benin</t>
  </si>
  <si>
    <t>Sahara</t>
  </si>
  <si>
    <t>Sao Tome &amp; Principe</t>
  </si>
  <si>
    <t>Zaire</t>
  </si>
  <si>
    <t>Burkinabe</t>
  </si>
  <si>
    <t>Cabinda</t>
  </si>
  <si>
    <t>Guinea Bissau</t>
  </si>
  <si>
    <t>Maseru</t>
  </si>
  <si>
    <t>Zomba</t>
  </si>
  <si>
    <t>TOTAL AFRICA</t>
  </si>
  <si>
    <t>GRAND TOTAL</t>
  </si>
  <si>
    <t>Jumlah Kunjungan Wisatawan Mancanegara per bulan ke Indonesia Menurut Kebangsaan (Kunjungan)</t>
  </si>
  <si>
    <t>Indeks</t>
  </si>
  <si>
    <t>B</t>
  </si>
  <si>
    <t>A</t>
  </si>
  <si>
    <t>C</t>
  </si>
  <si>
    <t>D</t>
  </si>
  <si>
    <t>E</t>
  </si>
  <si>
    <t>F</t>
  </si>
  <si>
    <t>G</t>
  </si>
  <si>
    <t>H</t>
  </si>
  <si>
    <t>Nama Pintu</t>
  </si>
  <si>
    <t xml:space="preserve"> Jumlah Kunjungan Wisatawan Mancanegara per bulan ke Indonesia Menurut Pintu Masuk 2021-2025</t>
  </si>
  <si>
    <t>Total Kunjungan Pintu Masuk Per-Tahun (2021-2025)</t>
  </si>
  <si>
    <t>Total Kunjungan Berdasarkan Pintu Masuk Per-Tahun (2021-2025)</t>
  </si>
  <si>
    <t>Tahun</t>
  </si>
  <si>
    <t>Pintu Udara</t>
  </si>
  <si>
    <t>Pintu Laut</t>
  </si>
  <si>
    <t>Pintu Darat</t>
  </si>
  <si>
    <t>Benua</t>
  </si>
  <si>
    <t>Total Wisatawan</t>
  </si>
  <si>
    <t>Total Kebangsaan</t>
  </si>
  <si>
    <t>Total Wisatawan Berdasarkan Benua (2021-2025)</t>
  </si>
  <si>
    <t>ASEAN</t>
  </si>
  <si>
    <t>ASIA (Excl. Asean)</t>
  </si>
  <si>
    <t>MIDDLE EAST</t>
  </si>
  <si>
    <t>EUROPE</t>
  </si>
  <si>
    <t>AMERICA</t>
  </si>
  <si>
    <t>OCEANIA</t>
  </si>
  <si>
    <t>AFRICA</t>
  </si>
  <si>
    <t>Dashboard Kinerja Pariwisata Nasional: Arus Wisatawan Mancanegara (2021-2025)</t>
  </si>
  <si>
    <t>Tota Wisatawan</t>
  </si>
  <si>
    <t>Negara Penyumbang Wisatawan Mancanegara Terbanyak</t>
  </si>
  <si>
    <t>Benua Penyumbang Wisatawan Mancanegara Terbanyak</t>
  </si>
  <si>
    <t>Jumlah</t>
  </si>
  <si>
    <t>Pintu Masuk Paling Sering Digunakan</t>
  </si>
  <si>
    <t>Negara</t>
  </si>
  <si>
    <t>Wisman</t>
  </si>
  <si>
    <t>10 Negara dengan kunjungan terbanyak</t>
  </si>
  <si>
    <t>Total Wisatawan Berdasarkan Benua</t>
  </si>
  <si>
    <t>Jumlah Wisman</t>
  </si>
  <si>
    <t>No</t>
  </si>
  <si>
    <t>Total Kunjungan Berdasarkan Pintu Masuk</t>
  </si>
  <si>
    <t>Nama Pintu Masuk Paling Sering Digunakan</t>
  </si>
  <si>
    <t>Dinamika Tren Tahunan Wisatawan Mancanegara (2021-2025)</t>
  </si>
  <si>
    <t>Jalur Pintu Masuk yang Banyak Digunakan</t>
  </si>
  <si>
    <t>Nama Pintu Masuk Paling Banyak Digunakan</t>
  </si>
  <si>
    <t>Pertumbuhan Tahunan</t>
  </si>
  <si>
    <t>Pertumbuhan Pertahun</t>
  </si>
  <si>
    <t>Total Wisatawan (Orang)</t>
  </si>
  <si>
    <t>Total Wisatawan Mancanegara (Orang)</t>
  </si>
  <si>
    <t>Pertumbuhan</t>
  </si>
  <si>
    <t>Total Negara (Negara)</t>
  </si>
  <si>
    <t xml:space="preserve">1.Data yang Digunakan
Dashboard ini dibangun menggunakan dua sumber data utama dari periode 2021 hingga 2025 yang saling melengkapi untuk memberikan gambaran menyeluruh mengenai sektor pariwisata nasional. 
Data pertama adalah "Jumlah Kunjungan Wisatawan Mancanegara per bulan ke Indonesia Menurut Pintu Masuk 2021-2025 (Kunjungan)", yang menyajikan rincian volume kedatangan wisatawan setiap bulannya di tiap tahun. Data ini sangat mendalam karena mengklasifikasikan kunjungan berdasarkan kategori pintu masuk, yaitu Pintu Udara, Pintu Laut, dan Pintu Darat, lengkap dengan nama-nama titik masuk spesifik (seperti Bandara Ngurah Rai) serta kategori "Lainnya" untuk mencakup titik-titik masuk kecil yang tidak disebutkan satu per satu secara eksplisit.
Data kedua adalah "Jumlah Kunjungan Wisatawan Mancanegara per bulan ke Indonesia Menurut Kebangsaan (Kunjungan)" yang juga menyajikan data bulanan selama lima tahun terakhir. Data ini memuat informasi mengenai seluruh kebangsaan wisatawan mancanegara yang berkunjung ke Indonesia, yang kemudian dikelompokkan berdasarkan Region atau Kawasan, seperti ASEAN, Asia (Excl. ASEAN), Europe, America, Oceania, Middle East, hingga Africa. 
2. Tujuan Dashboard: 
Dashboard ini berfungsi sebagai alat pemantauan kinerja sektor pariwisata nasional, khusus berfokus pada Arus Wisatawan Mancanegara (Wisman) yang masuk ke wilayah Indonesia selama periode 5 tahun, yaitu tahun 2021 hingga 2025. Dashboard ini dibagi menjadi dua bagian utama, bagian atas (tema biru) menampilkan ringkasan total atau akumulasi data selama 5 tahun penuh (2021-2025).Bagian Bawah (Tema Hijau) menampilkan dinamika atau tren yang bisa difilter per tahun (interaktif). Pada gambar ini, data sedang memfilter khusus kondisi di tahun 2025.
3. Penjelasan
- Bagian Atas (Static Dashboard)
Bagian ini memberikan pandangan luas mengenai apa yang terjadi selama 5 tahun terakhir.
Total Negara (244 Negara): Selama periode 2021-2025, Indonesia berhasil menarik wisatawan yang berasal dari 244 negara yang berbeda. Ini menunjukkan jangkauan pariwisata Indonesia yang sangat luas di skala global.
Total Wisatawan (48.397.710 Orang): Ini adalah angka akumulasi. Selama 5 tahun tersebut, total ada lebih dari 48,3 juta kunjungan wisatawan mancanegara.
Pintu Masuk Paling Sering Digunakan (Ngurah Rai): Bandara Internasional I Gusti Ngurah Rai di Bali menjadi gerbang utama dan paling sibuk yang menerima kedatangan wisman selama 5 tahun terakhir.
Grafik Batang (10 Negara Penyumbang Wisatawan Terbanyak): 
Grafik ini menunjukkan negara apa  yang sering melakukan wisata ke Indonesia. Malaysia menduduki peringkat pertama dengan jumlah yang sangat signifikan (mencapai lebih dari 8 juta kunjungan), disusul oleh Singapura dan Timor Leste. Menariknya, 10 besar negara ini didominasi oleh negara-negara tetangga di kawasan Asia Tenggara (ASEAN).
(Catatan Analitis: Di grafik ini terdapat "Indonesia" sebagai salah satu penyumbang. Dalam konteks data BPS/Pariwisata, ini biasanya merujuk pada WNI yang berdomisili di luar negeri atau pekerja migran yang kembali, yang dalam pencatatan tertentu masuk ke dalam arus lalu lintas internasional).
- Bagian Bawah (Dynamic Dashboard)
Bagian ini terdapat menu slicer (kotak pilihan tahun di sebelah kiri) yang saat ini sedang diklik pada angka 2025. Artinya, semua data di area berwarna hijau ini hanya merepresentasikan performa di tahun 2025 saja.
Tahun 2021: Titik Awal (Baseline)
Total Wisatawan: 1.557.530 orang. Ini adalah angka terendah dalam periode 5 tahun ini (sangat wajar mengingat pada tahun ini dunia masih sangat terdampak pembatasan pandemi global).
Pertumbuhan Tahunan: Ditampilkan #N/A (Not Available) karena 2021 adalah tahun pertama dalam rentang data dashboard ini, sehingga tidak ada data tahun 2020 untuk dibandingkan.
Kawasan Paling Dominan: Hampir seluruh wisatawan yang masuk hanya berasal dari kawasan ASEAN (sedikit di atas angka 1 juta). Wisatawan dari benua lain (Eropa, Amerika, Oceania) nyaris tidak ada atau sangat minim.
Jalur Pintu Masuk: Pintu Udara (hijau tua) tetap paling banyak, tapi proporsi Pintu Laut (hijau muda) terlihat cukup lumayan dibandingkan tahun-tahun setelahnya.
Tahun 2022: Fase Kebangkitan Luar Biasa (Rebound)
Total Wisatawan: Melesat tajam menjadi 5.889.031 orang.
Pertumbuhan Tahunan: Meroket Naik 278,1%. Ini adalah persentase pertumbuhan tertinggi selama 5 tahun. Menandakan perbatasan negara sudah mulai dibuka secara masif.
Kawasan Paling Dominan: ASEAN ikut melonjak hingga menyentuh angka 3 juta kunjungan. Wisatawan dari Asia (di luar ASEAN) dan Eropa grafiknya mulai terlihat naik secara signifikan. 
Jalur Pintu Masuk: Dominasi Pintu Udara (bandara) mulai membesar dan "memakan" proporsi pie chart Pintu Laut dan Darat, menandakan penerbangan internasional sudah kembali beroperasi normal.
Tahun 2023: Fase Akselerasi (Percepatan)
Total Wisatawan: Berhasil menembus dua digit, yaitu 11.677.825 orang.
Pertumbuhan Tahunan: Masih sangat tinggi di angka Naik 98,3% (hampir dua kali lipat dari tahun 2022).
Kawasan Paling Dominan: Angkanya semakin merata. ASEAN menyentuh hampir 5 juta orang. Kawasan Asia (di luar ASEAN), Eropa, dan Oceania kini secara konsisten menyumbang angka di atas 1,5 hingga 2 juta kunjungan.
Jalur Pintu Masuk: Potongan pie chart untuk Pintu Udara (hijau tua) semakin mendominasi secara absolut.
Tahun 2024: Fase Pertumbuhan Stabil
Total Wisatawan: Terus bertumbuh menjadi 13.886.678 orang.
Pertumbuhan Tahunan: Angkanya melandai menjadi Naik 18,9%. Penurunan persentase ini adalah hal yang sangat normal dan sehat dalam statistik. Karena angka dasarnya (tahun 2023) sudah sangat besar, pertumbuhan tidak lagi ratusan persen, melainkan masuk ke fase stabil.
Kawasan Paling Dominan: Seluruh metrik kawasan menunjukkan grafik yang naik. ASEAN melewati angka 5,5 juta, sementara Eropa dan Oceania bersaing ketat di angka sekitar 2 juta kunjungan.
Tahun 2025: Puncak Pemulihan
Total Wisatawan: Mencapai angka tertinggi selama periode 5 tahun, yaitu 15.386.646 orang.
Pertumbuhan Tahunan: Stabil di angka Naik 10,8%.
Kawasan Paling Dominan: ASEAN kokoh sebagai raja dengan lebih dari 6 juta kunjungan. Kawasan Asia (di luar ASEAN) berada di posisi kedua (sekitar 3,5 juta), disusul Eropa dan Oceania.
Jalur Pintu Masuk: Pintu Udara menjadi gerbang mutlak penyokong pariwisata nasional, menyisakan porsi yang jauh lebih kecil untuk Pintu Laut dan Darat.
4. Kesimpulan / Insight dari Dashboard
Pariwisata Indonesia selama 2021-2025 sangat bergantung pada pasar regional, khususnya negara-negara ASEAN seperti Malaysia dan Singapura. Mayoritas wisatawan masuk melalui jalur udara dengan Bali (Ngurah Rai) sebagai primadona utama. Kabar baiknya, tren pariwisata kita bergerak ke arah yang positif, dibuktikan dengan pertumbuhan kunjungan sebesar 10,8% pada tahun 2025 yang berhasil menembus angka 15,3 juta kunjungan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</si>
</sst>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6"/>
      <color theme="1"/>
      <name val="Calibri"/>
      <family val="2"/>
      <scheme val="minor"/>
    </font>
    <font>
      <sz val="12"/>
      <color rgb="FF000000"/>
      <name val="Calibri"/>
      <family val="2"/>
      <scheme val="minor"/>
    </font>
    <font>
      <sz val="12"/>
      <color theme="0"/>
      <name val="Calibri"/>
      <family val="2"/>
      <scheme val="minor"/>
    </font>
    <font>
      <sz val="14"/>
      <color theme="1"/>
      <name val="Calibri"/>
      <family val="2"/>
      <scheme val="minor"/>
    </font>
    <font>
      <sz val="12"/>
      <color theme="1"/>
      <name val="Times New Roman"/>
      <family val="1"/>
    </font>
    <font>
      <sz val="14"/>
      <color theme="1"/>
      <name val="Times New Roman"/>
      <family val="1"/>
    </font>
    <font>
      <sz val="14"/>
      <color theme="0"/>
      <name val="Times New Roman"/>
      <family val="1"/>
    </font>
    <font>
      <sz val="20"/>
      <color theme="0"/>
      <name val="Calibri"/>
      <family val="2"/>
      <scheme val="minor"/>
    </font>
    <font>
      <sz val="11"/>
      <color theme="0"/>
      <name val="Calibri"/>
      <family val="2"/>
      <scheme val="minor"/>
    </font>
    <font>
      <sz val="11"/>
      <color theme="0"/>
      <name val="Times New Roman"/>
      <family val="1"/>
    </font>
    <font>
      <sz val="14"/>
      <color theme="4" tint="0.79998168889431442"/>
      <name val="Times New Roman"/>
      <family val="1"/>
    </font>
    <font>
      <sz val="18"/>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6"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8">
    <xf numFmtId="0" fontId="0" fillId="0" borderId="0" xfId="0"/>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Alignment="1">
      <alignment horizontal="right"/>
    </xf>
    <xf numFmtId="0" fontId="0" fillId="0" borderId="0" xfId="0" applyAlignment="1">
      <alignment horizontal="right" vertical="center"/>
    </xf>
    <xf numFmtId="3" fontId="0" fillId="0" borderId="0" xfId="0" applyNumberFormat="1" applyAlignment="1">
      <alignment horizontal="center" vertical="center"/>
    </xf>
    <xf numFmtId="0" fontId="0" fillId="0" borderId="1" xfId="0" applyBorder="1" applyAlignment="1">
      <alignment horizontal="right" vertical="center"/>
    </xf>
    <xf numFmtId="3" fontId="0" fillId="0" borderId="1" xfId="0" applyNumberFormat="1" applyBorder="1" applyAlignment="1">
      <alignment horizontal="center" vertical="center"/>
    </xf>
    <xf numFmtId="3" fontId="0" fillId="0" borderId="1" xfId="0" applyNumberFormat="1" applyBorder="1" applyAlignment="1">
      <alignment horizontal="center"/>
    </xf>
    <xf numFmtId="0" fontId="0" fillId="0" borderId="1" xfId="0" applyBorder="1" applyAlignment="1">
      <alignment horizontal="right"/>
    </xf>
    <xf numFmtId="0" fontId="2" fillId="0" borderId="1" xfId="0" applyFont="1" applyBorder="1"/>
    <xf numFmtId="0" fontId="2" fillId="0" borderId="1" xfId="0" applyFont="1" applyBorder="1" applyAlignment="1">
      <alignment horizontal="right"/>
    </xf>
    <xf numFmtId="0" fontId="0" fillId="0" borderId="1" xfId="0" applyBorder="1" applyAlignment="1">
      <alignment horizontal="center"/>
    </xf>
    <xf numFmtId="37" fontId="0" fillId="0" borderId="0" xfId="0" applyNumberFormat="1"/>
    <xf numFmtId="3" fontId="0" fillId="0" borderId="1" xfId="0" applyNumberFormat="1" applyBorder="1" applyAlignment="1">
      <alignment horizontal="right" vertical="center"/>
    </xf>
    <xf numFmtId="0" fontId="0" fillId="0" borderId="1" xfId="0" applyBorder="1" applyAlignment="1">
      <alignment vertical="center"/>
    </xf>
    <xf numFmtId="0" fontId="0" fillId="0" borderId="0" xfId="0" applyAlignment="1">
      <alignment vertical="center"/>
    </xf>
    <xf numFmtId="3" fontId="0" fillId="2" borderId="0" xfId="0" applyNumberFormat="1" applyFill="1" applyAlignment="1">
      <alignment horizontal="center" vertical="center"/>
    </xf>
    <xf numFmtId="0" fontId="5" fillId="0" borderId="0" xfId="0" applyFont="1"/>
    <xf numFmtId="0" fontId="5" fillId="0" borderId="0" xfId="0" applyFont="1" applyAlignment="1">
      <alignment vertical="center"/>
    </xf>
    <xf numFmtId="0" fontId="6" fillId="0" borderId="0" xfId="0" applyFont="1" applyAlignment="1">
      <alignment vertical="center"/>
    </xf>
    <xf numFmtId="0" fontId="3" fillId="0" borderId="0" xfId="0" applyFont="1"/>
    <xf numFmtId="0" fontId="8" fillId="0" borderId="0" xfId="0" applyFont="1" applyAlignment="1">
      <alignment vertical="center"/>
    </xf>
    <xf numFmtId="0" fontId="7" fillId="0" borderId="0" xfId="0" applyFont="1" applyAlignment="1">
      <alignment vertical="center"/>
    </xf>
    <xf numFmtId="3" fontId="4" fillId="0" borderId="0" xfId="0" applyNumberFormat="1" applyFont="1" applyAlignment="1">
      <alignment vertical="center"/>
    </xf>
    <xf numFmtId="0" fontId="4" fillId="0" borderId="0" xfId="0" applyFont="1" applyAlignment="1">
      <alignment vertical="center"/>
    </xf>
    <xf numFmtId="3" fontId="0" fillId="0" borderId="0" xfId="0" applyNumberFormat="1"/>
    <xf numFmtId="0" fontId="0" fillId="8" borderId="0" xfId="0" applyFill="1"/>
    <xf numFmtId="0" fontId="0" fillId="9" borderId="0" xfId="0" applyFill="1"/>
    <xf numFmtId="0" fontId="1" fillId="9" borderId="0" xfId="0" applyFont="1" applyFill="1" applyAlignment="1">
      <alignment vertical="center"/>
    </xf>
    <xf numFmtId="0" fontId="9" fillId="9" borderId="0" xfId="0" applyFont="1" applyFill="1" applyAlignment="1">
      <alignment vertical="center"/>
    </xf>
    <xf numFmtId="0" fontId="11" fillId="9" borderId="0" xfId="0" applyFont="1" applyFill="1" applyAlignment="1">
      <alignment vertical="center"/>
    </xf>
    <xf numFmtId="0" fontId="5" fillId="9" borderId="0" xfId="0" applyFont="1" applyFill="1" applyAlignment="1">
      <alignment vertical="center"/>
    </xf>
    <xf numFmtId="0" fontId="0" fillId="0" borderId="0" xfId="0" applyAlignment="1">
      <alignment vertical="top" wrapText="1"/>
    </xf>
    <xf numFmtId="0" fontId="12"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horizontal="center"/>
    </xf>
    <xf numFmtId="37" fontId="0" fillId="0" borderId="1" xfId="0" applyNumberFormat="1" applyBorder="1" applyAlignment="1">
      <alignment horizontal="center"/>
    </xf>
    <xf numFmtId="3" fontId="0" fillId="0" borderId="1" xfId="0" applyNumberFormat="1" applyBorder="1" applyAlignment="1">
      <alignment horizontal="center"/>
    </xf>
    <xf numFmtId="0" fontId="0" fillId="0" borderId="1" xfId="0" applyBorder="1" applyAlignment="1">
      <alignment horizontal="center" wrapText="1"/>
    </xf>
    <xf numFmtId="37" fontId="0" fillId="0" borderId="1" xfId="0" applyNumberFormat="1" applyBorder="1" applyAlignment="1">
      <alignment horizontal="center"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3" fontId="0" fillId="0" borderId="3" xfId="0" applyNumberFormat="1" applyBorder="1" applyAlignment="1">
      <alignment horizontal="center"/>
    </xf>
    <xf numFmtId="3" fontId="0" fillId="0" borderId="2" xfId="0" applyNumberFormat="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9" fontId="1" fillId="7" borderId="1" xfId="0" applyNumberFormat="1" applyFont="1" applyFill="1" applyBorder="1" applyAlignment="1">
      <alignment horizontal="center" vertical="center"/>
    </xf>
    <xf numFmtId="0" fontId="10" fillId="6" borderId="5" xfId="0" applyFont="1" applyFill="1" applyBorder="1" applyAlignment="1">
      <alignment horizontal="center" vertical="center" wrapText="1"/>
    </xf>
    <xf numFmtId="0" fontId="10" fillId="6" borderId="1" xfId="0" applyFont="1" applyFill="1" applyBorder="1" applyAlignment="1">
      <alignment horizontal="center" vertical="center" wrapText="1"/>
    </xf>
    <xf numFmtId="3" fontId="4" fillId="7" borderId="1" xfId="0" applyNumberFormat="1" applyFont="1" applyFill="1" applyBorder="1" applyAlignment="1">
      <alignment horizontal="center" vertical="center"/>
    </xf>
    <xf numFmtId="0" fontId="4" fillId="7" borderId="1" xfId="0" applyFont="1" applyFill="1" applyBorder="1" applyAlignment="1">
      <alignment horizontal="center" vertical="center"/>
    </xf>
    <xf numFmtId="3" fontId="6" fillId="2" borderId="1" xfId="0" applyNumberFormat="1" applyFont="1" applyFill="1" applyBorder="1" applyAlignment="1">
      <alignment horizontal="center" vertical="center"/>
    </xf>
    <xf numFmtId="3" fontId="10" fillId="3"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xf>
    <xf numFmtId="0" fontId="7" fillId="4" borderId="1" xfId="0" applyFont="1" applyFill="1" applyBorder="1" applyAlignment="1">
      <alignment horizontal="center" vertical="center"/>
    </xf>
    <xf numFmtId="0" fontId="10" fillId="3" borderId="5" xfId="0" applyFont="1" applyFill="1" applyBorder="1" applyAlignment="1">
      <alignment horizontal="center" vertical="center"/>
    </xf>
    <xf numFmtId="0" fontId="6"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9"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10 Negara Penyumbang</a:t>
            </a:r>
            <a:r>
              <a:rPr lang="en-US" sz="1100" baseline="0"/>
              <a:t> Wisatawan Mancanegara Terbanyak (2021-2025)</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'Tabel Bantuan'!$K$26</c:f>
              <c:strCache>
                <c:ptCount val="1"/>
                <c:pt idx="0">
                  <c:v>Wisman</c:v>
                </c:pt>
              </c:strCache>
            </c:strRef>
          </c:tx>
          <c:spPr>
            <a:solidFill>
              <a:schemeClr val="accent1"/>
            </a:solidFill>
            <a:ln>
              <a:noFill/>
            </a:ln>
            <a:effectLst/>
          </c:spPr>
          <c:invertIfNegative val="0"/>
          <c:cat>
            <c:strRef>
              <c:f>'Tabel Bantuan'!$J$27:$J$36</c:f>
              <c:strCache>
                <c:ptCount val="10"/>
                <c:pt idx="0">
                  <c:v>Malaysia</c:v>
                </c:pt>
                <c:pt idx="1">
                  <c:v>Singapore</c:v>
                </c:pt>
                <c:pt idx="2">
                  <c:v>Timor Leste</c:v>
                </c:pt>
                <c:pt idx="3">
                  <c:v>Indonesia</c:v>
                </c:pt>
                <c:pt idx="4">
                  <c:v>Philippines</c:v>
                </c:pt>
                <c:pt idx="5">
                  <c:v>Thailand</c:v>
                </c:pt>
                <c:pt idx="6">
                  <c:v>Vietnam</c:v>
                </c:pt>
                <c:pt idx="7">
                  <c:v>Myanmar/Burma</c:v>
                </c:pt>
                <c:pt idx="8">
                  <c:v>Brunei Darussalam</c:v>
                </c:pt>
                <c:pt idx="9">
                  <c:v>Kamboja</c:v>
                </c:pt>
              </c:strCache>
            </c:strRef>
          </c:cat>
          <c:val>
            <c:numRef>
              <c:f>'Tabel Bantuan'!$K$27:$K$36</c:f>
              <c:numCache>
                <c:formatCode>General</c:formatCode>
                <c:ptCount val="10"/>
                <c:pt idx="0">
                  <c:v>8504844</c:v>
                </c:pt>
                <c:pt idx="1">
                  <c:v>5515700</c:v>
                </c:pt>
                <c:pt idx="2">
                  <c:v>5101684</c:v>
                </c:pt>
                <c:pt idx="3">
                  <c:v>4047181</c:v>
                </c:pt>
                <c:pt idx="4">
                  <c:v>3553623</c:v>
                </c:pt>
                <c:pt idx="5">
                  <c:v>2339620</c:v>
                </c:pt>
                <c:pt idx="6">
                  <c:v>1845963</c:v>
                </c:pt>
                <c:pt idx="7">
                  <c:v>1431034</c:v>
                </c:pt>
                <c:pt idx="8">
                  <c:v>1411740</c:v>
                </c:pt>
                <c:pt idx="9">
                  <c:v>1315975</c:v>
                </c:pt>
              </c:numCache>
            </c:numRef>
          </c:val>
          <c:extLst>
            <c:ext xmlns:c16="http://schemas.microsoft.com/office/drawing/2014/chart" uri="{C3380CC4-5D6E-409C-BE32-E72D297353CC}">
              <c16:uniqueId val="{00000000-F202-0243-927D-F5708EAF2EEC}"/>
            </c:ext>
          </c:extLst>
        </c:ser>
        <c:dLbls>
          <c:showLegendKey val="0"/>
          <c:showVal val="0"/>
          <c:showCatName val="0"/>
          <c:showSerName val="0"/>
          <c:showPercent val="0"/>
          <c:showBubbleSize val="0"/>
        </c:dLbls>
        <c:gapWidth val="219"/>
        <c:overlap val="-27"/>
        <c:axId val="457223679"/>
        <c:axId val="457269551"/>
      </c:barChart>
      <c:catAx>
        <c:axId val="4572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69551"/>
        <c:crosses val="autoZero"/>
        <c:auto val="1"/>
        <c:lblAlgn val="ctr"/>
        <c:lblOffset val="100"/>
        <c:noMultiLvlLbl val="0"/>
      </c:catAx>
      <c:valAx>
        <c:axId val="45726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23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tx1"/>
                </a:solidFill>
              </a:rPr>
              <a:t>Jumlah Wisatawan Mancanegara Per-Tahun Berdasarkan Kawasan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'Tabel Bantuan'!$G$22</c:f>
              <c:strCache>
                <c:ptCount val="1"/>
                <c:pt idx="0">
                  <c:v>Jumlah</c:v>
                </c:pt>
              </c:strCache>
            </c:strRef>
          </c:tx>
          <c:spPr>
            <a:solidFill>
              <a:schemeClr val="accent1"/>
            </a:solidFill>
            <a:ln>
              <a:noFill/>
            </a:ln>
            <a:effectLst/>
          </c:spPr>
          <c:invertIfNegative val="0"/>
          <c:cat>
            <c:strRef>
              <c:f>'Tabel Bantuan'!$F$23:$F$29</c:f>
              <c:strCache>
                <c:ptCount val="7"/>
                <c:pt idx="0">
                  <c:v>ASEAN</c:v>
                </c:pt>
                <c:pt idx="1">
                  <c:v>ASIA (Excl. Asean)</c:v>
                </c:pt>
                <c:pt idx="2">
                  <c:v>MIDDLE EAST</c:v>
                </c:pt>
                <c:pt idx="3">
                  <c:v>EUROPE</c:v>
                </c:pt>
                <c:pt idx="4">
                  <c:v>AMERICA</c:v>
                </c:pt>
                <c:pt idx="5">
                  <c:v>OCEANIA</c:v>
                </c:pt>
                <c:pt idx="6">
                  <c:v>AFRICA</c:v>
                </c:pt>
              </c:strCache>
            </c:strRef>
          </c:cat>
          <c:val>
            <c:numRef>
              <c:f>'Tabel Bantuan'!$G$23:$G$29</c:f>
              <c:numCache>
                <c:formatCode>#,##0</c:formatCode>
                <c:ptCount val="7"/>
                <c:pt idx="0">
                  <c:v>6356941</c:v>
                </c:pt>
                <c:pt idx="1">
                  <c:v>3498891</c:v>
                </c:pt>
                <c:pt idx="2">
                  <c:v>260098</c:v>
                </c:pt>
                <c:pt idx="3">
                  <c:v>2456951</c:v>
                </c:pt>
                <c:pt idx="4">
                  <c:v>615801</c:v>
                </c:pt>
                <c:pt idx="5">
                  <c:v>2094440</c:v>
                </c:pt>
                <c:pt idx="6">
                  <c:v>103524</c:v>
                </c:pt>
              </c:numCache>
            </c:numRef>
          </c:val>
          <c:extLst>
            <c:ext xmlns:c16="http://schemas.microsoft.com/office/drawing/2014/chart" uri="{C3380CC4-5D6E-409C-BE32-E72D297353CC}">
              <c16:uniqueId val="{00000000-5361-2148-8C88-0EF75C5FC375}"/>
            </c:ext>
          </c:extLst>
        </c:ser>
        <c:dLbls>
          <c:showLegendKey val="0"/>
          <c:showVal val="0"/>
          <c:showCatName val="0"/>
          <c:showSerName val="0"/>
          <c:showPercent val="0"/>
          <c:showBubbleSize val="0"/>
        </c:dLbls>
        <c:gapWidth val="219"/>
        <c:overlap val="-27"/>
        <c:axId val="1783386879"/>
        <c:axId val="1783380111"/>
        <c:extLst>
          <c:ext xmlns:c15="http://schemas.microsoft.com/office/drawing/2012/chart" uri="{02D57815-91ED-43cb-92C2-25804820EDAC}">
            <c15:filteredBarSeries>
              <c15:ser>
                <c:idx val="1"/>
                <c:order val="1"/>
                <c:tx>
                  <c:strRef>
                    <c:extLst>
                      <c:ext uri="{02D57815-91ED-43cb-92C2-25804820EDAC}">
                        <c15:formulaRef>
                          <c15:sqref>'Tabel Bantuan'!$H$22</c15:sqref>
                        </c15:formulaRef>
                      </c:ext>
                    </c:extLst>
                    <c:strCache>
                      <c:ptCount val="1"/>
                    </c:strCache>
                  </c:strRef>
                </c:tx>
                <c:spPr>
                  <a:solidFill>
                    <a:schemeClr val="accent2"/>
                  </a:solidFill>
                  <a:ln>
                    <a:noFill/>
                  </a:ln>
                  <a:effectLst/>
                </c:spPr>
                <c:invertIfNegative val="0"/>
                <c:cat>
                  <c:strRef>
                    <c:extLst>
                      <c:ext uri="{02D57815-91ED-43cb-92C2-25804820EDAC}">
                        <c15:formulaRef>
                          <c15:sqref>'Tabel Bantuan'!$F$23:$F$29</c15:sqref>
                        </c15:formulaRef>
                      </c:ext>
                    </c:extLst>
                    <c:strCache>
                      <c:ptCount val="7"/>
                      <c:pt idx="0">
                        <c:v>ASEAN</c:v>
                      </c:pt>
                      <c:pt idx="1">
                        <c:v>ASIA (Excl. Asean)</c:v>
                      </c:pt>
                      <c:pt idx="2">
                        <c:v>MIDDLE EAST</c:v>
                      </c:pt>
                      <c:pt idx="3">
                        <c:v>EUROPE</c:v>
                      </c:pt>
                      <c:pt idx="4">
                        <c:v>AMERICA</c:v>
                      </c:pt>
                      <c:pt idx="5">
                        <c:v>OCEANIA</c:v>
                      </c:pt>
                      <c:pt idx="6">
                        <c:v>AFRICA</c:v>
                      </c:pt>
                    </c:strCache>
                  </c:strRef>
                </c:cat>
                <c:val>
                  <c:numRef>
                    <c:extLst>
                      <c:ext uri="{02D57815-91ED-43cb-92C2-25804820EDAC}">
                        <c15:formulaRef>
                          <c15:sqref>'Tabel Bantuan'!$H$23:$H$29</c15:sqref>
                        </c15:formulaRef>
                      </c:ext>
                    </c:extLst>
                    <c:numCache>
                      <c:formatCode>#,##0</c:formatCode>
                      <c:ptCount val="7"/>
                    </c:numCache>
                  </c:numRef>
                </c:val>
                <c:extLst>
                  <c:ext xmlns:c16="http://schemas.microsoft.com/office/drawing/2014/chart" uri="{C3380CC4-5D6E-409C-BE32-E72D297353CC}">
                    <c16:uniqueId val="{00000001-5361-2148-8C88-0EF75C5FC375}"/>
                  </c:ext>
                </c:extLst>
              </c15:ser>
            </c15:filteredBarSeries>
          </c:ext>
        </c:extLst>
      </c:barChart>
      <c:catAx>
        <c:axId val="17833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380111"/>
        <c:crosses val="autoZero"/>
        <c:auto val="1"/>
        <c:lblAlgn val="ctr"/>
        <c:lblOffset val="100"/>
        <c:noMultiLvlLbl val="0"/>
      </c:catAx>
      <c:valAx>
        <c:axId val="178338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386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'Tabel Bantuan'!$G$13</c:f>
              <c:strCache>
                <c:ptCount val="1"/>
                <c:pt idx="0">
                  <c:v>Jumlah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F0-424A-80F7-630DA98018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F0-424A-80F7-630DA98018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F0-424A-80F7-630DA9801858}"/>
              </c:ext>
            </c:extLst>
          </c:dPt>
          <c:cat>
            <c:strRef>
              <c:f>'Tabel Bantuan'!$F$14:$F$16</c:f>
              <c:strCache>
                <c:ptCount val="3"/>
                <c:pt idx="0">
                  <c:v>Pintu Udara</c:v>
                </c:pt>
                <c:pt idx="1">
                  <c:v>Pintu Laut</c:v>
                </c:pt>
                <c:pt idx="2">
                  <c:v>Pintu Darat</c:v>
                </c:pt>
              </c:strCache>
            </c:strRef>
          </c:cat>
          <c:val>
            <c:numRef>
              <c:f>'Tabel Bantuan'!$G$14:$G$16</c:f>
              <c:numCache>
                <c:formatCode>#,##0</c:formatCode>
                <c:ptCount val="3"/>
                <c:pt idx="0">
                  <c:v>10819291</c:v>
                </c:pt>
                <c:pt idx="1">
                  <c:v>3028847</c:v>
                </c:pt>
                <c:pt idx="2">
                  <c:v>1538508</c:v>
                </c:pt>
              </c:numCache>
            </c:numRef>
          </c:val>
          <c:extLst>
            <c:ext xmlns:c16="http://schemas.microsoft.com/office/drawing/2014/chart" uri="{C3380CC4-5D6E-409C-BE32-E72D297353CC}">
              <c16:uniqueId val="{00000000-6183-F24C-B4D0-AF9475FF74AB}"/>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'Tabel Bantuan'!$H$13</c15:sqref>
                        </c15:formulaRef>
                      </c:ext>
                    </c:extLst>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6F0-424A-80F7-630DA98018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6F0-424A-80F7-630DA98018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6F0-424A-80F7-630DA9801858}"/>
                    </c:ext>
                  </c:extLst>
                </c:dPt>
                <c:cat>
                  <c:strRef>
                    <c:extLst>
                      <c:ext uri="{02D57815-91ED-43cb-92C2-25804820EDAC}">
                        <c15:formulaRef>
                          <c15:sqref>'Tabel Bantuan'!$F$14:$F$16</c15:sqref>
                        </c15:formulaRef>
                      </c:ext>
                    </c:extLst>
                    <c:strCache>
                      <c:ptCount val="3"/>
                      <c:pt idx="0">
                        <c:v>Pintu Udara</c:v>
                      </c:pt>
                      <c:pt idx="1">
                        <c:v>Pintu Laut</c:v>
                      </c:pt>
                      <c:pt idx="2">
                        <c:v>Pintu Darat</c:v>
                      </c:pt>
                    </c:strCache>
                  </c:strRef>
                </c:cat>
                <c:val>
                  <c:numRef>
                    <c:extLst>
                      <c:ext uri="{02D57815-91ED-43cb-92C2-25804820EDAC}">
                        <c15:formulaRef>
                          <c15:sqref>'Tabel Bantuan'!$H$14:$H$16</c15:sqref>
                        </c15:formulaRef>
                      </c:ext>
                    </c:extLst>
                    <c:numCache>
                      <c:formatCode>#,##0</c:formatCode>
                      <c:ptCount val="3"/>
                    </c:numCache>
                  </c:numRef>
                </c:val>
                <c:extLst>
                  <c:ext xmlns:c16="http://schemas.microsoft.com/office/drawing/2014/chart" uri="{C3380CC4-5D6E-409C-BE32-E72D297353CC}">
                    <c16:uniqueId val="{00000001-6183-F24C-B4D0-AF9475FF74AB}"/>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'Tabel Bantuan'!$T$16</c:f>
              <c:strCache>
                <c:ptCount val="1"/>
                <c:pt idx="0">
                  <c:v>Jumlah Wisman</c:v>
                </c:pt>
              </c:strCache>
            </c:strRef>
          </c:tx>
          <c:spPr>
            <a:ln w="28575" cap="rnd">
              <a:solidFill>
                <a:schemeClr val="accent1"/>
              </a:solidFill>
              <a:round/>
            </a:ln>
            <a:effectLst/>
          </c:spPr>
          <c:marker>
            <c:symbol val="none"/>
          </c:marker>
          <c:cat>
            <c:numRef>
              <c:f>'Tabel Bantuan'!$S$17:$S$21</c:f>
              <c:numCache>
                <c:formatCode>General</c:formatCode>
                <c:ptCount val="5"/>
                <c:pt idx="0">
                  <c:v>2021</c:v>
                </c:pt>
                <c:pt idx="1">
                  <c:v>2022</c:v>
                </c:pt>
                <c:pt idx="2">
                  <c:v>2023</c:v>
                </c:pt>
                <c:pt idx="3">
                  <c:v>2024</c:v>
                </c:pt>
                <c:pt idx="4">
                  <c:v>2025</c:v>
                </c:pt>
              </c:numCache>
            </c:numRef>
          </c:cat>
          <c:val>
            <c:numRef>
              <c:f>'Tabel Bantuan'!$T$17:$T$21</c:f>
              <c:numCache>
                <c:formatCode>#,##0</c:formatCode>
                <c:ptCount val="5"/>
                <c:pt idx="0">
                  <c:v>85353</c:v>
                </c:pt>
                <c:pt idx="1">
                  <c:v>722608</c:v>
                </c:pt>
                <c:pt idx="2">
                  <c:v>2254077</c:v>
                </c:pt>
                <c:pt idx="3">
                  <c:v>3069060</c:v>
                </c:pt>
                <c:pt idx="4">
                  <c:v>3498891</c:v>
                </c:pt>
              </c:numCache>
            </c:numRef>
          </c:val>
          <c:smooth val="0"/>
          <c:extLst>
            <c:ext xmlns:c16="http://schemas.microsoft.com/office/drawing/2014/chart" uri="{C3380CC4-5D6E-409C-BE32-E72D297353CC}">
              <c16:uniqueId val="{00000000-3657-0E44-8710-DA426E428DD0}"/>
            </c:ext>
          </c:extLst>
        </c:ser>
        <c:dLbls>
          <c:showLegendKey val="0"/>
          <c:showVal val="0"/>
          <c:showCatName val="0"/>
          <c:showSerName val="0"/>
          <c:showPercent val="0"/>
          <c:showBubbleSize val="0"/>
        </c:dLbls>
        <c:smooth val="0"/>
        <c:axId val="1827386655"/>
        <c:axId val="1827388367"/>
        <c:extLst>
          <c:ext xmlns:c15="http://schemas.microsoft.com/office/drawing/2012/chart" uri="{02D57815-91ED-43cb-92C2-25804820EDAC}">
            <c15:filteredLineSeries>
              <c15:ser>
                <c:idx val="1"/>
                <c:order val="1"/>
                <c:tx>
                  <c:strRef>
                    <c:extLst>
                      <c:ext uri="{02D57815-91ED-43cb-92C2-25804820EDAC}">
                        <c15:formulaRef>
                          <c15:sqref>'Tabel Bantuan'!$U$16</c15:sqref>
                        </c15:formulaRef>
                      </c:ext>
                    </c:extLst>
                    <c:strCache>
                      <c:ptCount val="1"/>
                    </c:strCache>
                  </c:strRef>
                </c:tx>
                <c:spPr>
                  <a:ln w="28575" cap="rnd">
                    <a:solidFill>
                      <a:schemeClr val="accent2"/>
                    </a:solidFill>
                    <a:round/>
                  </a:ln>
                  <a:effectLst/>
                </c:spPr>
                <c:marker>
                  <c:symbol val="none"/>
                </c:marker>
                <c:cat>
                  <c:numRef>
                    <c:extLst>
                      <c:ext uri="{02D57815-91ED-43cb-92C2-25804820EDAC}">
                        <c15:formulaRef>
                          <c15:sqref>'Tabel Bantuan'!$S$17:$S$21</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ormulaRef>
                          <c15:sqref>'Tabel Bantuan'!$U$17:$U$21</c15:sqref>
                        </c15:formulaRef>
                      </c:ext>
                    </c:extLst>
                    <c:numCache>
                      <c:formatCode>#,##0</c:formatCode>
                      <c:ptCount val="5"/>
                    </c:numCache>
                  </c:numRef>
                </c:val>
                <c:smooth val="0"/>
                <c:extLst>
                  <c:ext xmlns:c16="http://schemas.microsoft.com/office/drawing/2014/chart" uri="{C3380CC4-5D6E-409C-BE32-E72D297353CC}">
                    <c16:uniqueId val="{00000001-3657-0E44-8710-DA426E428DD0}"/>
                  </c:ext>
                </c:extLst>
              </c15:ser>
            </c15:filteredLineSeries>
          </c:ext>
        </c:extLst>
      </c:lineChart>
      <c:catAx>
        <c:axId val="182738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88367"/>
        <c:crosses val="autoZero"/>
        <c:auto val="1"/>
        <c:lblAlgn val="ctr"/>
        <c:lblOffset val="100"/>
        <c:noMultiLvlLbl val="0"/>
      </c:catAx>
      <c:valAx>
        <c:axId val="1827388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86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'Tabel Bantuan'!$T$16</c:f>
              <c:strCache>
                <c:ptCount val="1"/>
                <c:pt idx="0">
                  <c:v>Jumlah Wisman</c:v>
                </c:pt>
              </c:strCache>
            </c:strRef>
          </c:tx>
          <c:spPr>
            <a:solidFill>
              <a:schemeClr val="accent1"/>
            </a:solidFill>
            <a:ln>
              <a:noFill/>
            </a:ln>
            <a:effectLst/>
          </c:spPr>
          <c:invertIfNegative val="0"/>
          <c:cat>
            <c:numRef>
              <c:f>'Tabel Bantuan'!$S$17:$S$21</c:f>
              <c:numCache>
                <c:formatCode>General</c:formatCode>
                <c:ptCount val="5"/>
                <c:pt idx="0">
                  <c:v>2021</c:v>
                </c:pt>
                <c:pt idx="1">
                  <c:v>2022</c:v>
                </c:pt>
                <c:pt idx="2">
                  <c:v>2023</c:v>
                </c:pt>
                <c:pt idx="3">
                  <c:v>2024</c:v>
                </c:pt>
                <c:pt idx="4">
                  <c:v>2025</c:v>
                </c:pt>
              </c:numCache>
            </c:numRef>
          </c:cat>
          <c:val>
            <c:numRef>
              <c:f>'Tabel Bantuan'!$T$17:$T$21</c:f>
              <c:numCache>
                <c:formatCode>#,##0</c:formatCode>
                <c:ptCount val="5"/>
                <c:pt idx="0">
                  <c:v>85353</c:v>
                </c:pt>
                <c:pt idx="1">
                  <c:v>722608</c:v>
                </c:pt>
                <c:pt idx="2">
                  <c:v>2254077</c:v>
                </c:pt>
                <c:pt idx="3">
                  <c:v>3069060</c:v>
                </c:pt>
                <c:pt idx="4">
                  <c:v>3498891</c:v>
                </c:pt>
              </c:numCache>
            </c:numRef>
          </c:val>
          <c:extLst>
            <c:ext xmlns:c16="http://schemas.microsoft.com/office/drawing/2014/chart" uri="{C3380CC4-5D6E-409C-BE32-E72D297353CC}">
              <c16:uniqueId val="{00000000-5C91-644F-B05B-641B8EE17D49}"/>
            </c:ext>
          </c:extLst>
        </c:ser>
        <c:dLbls>
          <c:showLegendKey val="0"/>
          <c:showVal val="0"/>
          <c:showCatName val="0"/>
          <c:showSerName val="0"/>
          <c:showPercent val="0"/>
          <c:showBubbleSize val="0"/>
        </c:dLbls>
        <c:gapWidth val="219"/>
        <c:overlap val="-27"/>
        <c:axId val="1209945359"/>
        <c:axId val="1209198543"/>
        <c:extLst>
          <c:ext xmlns:c15="http://schemas.microsoft.com/office/drawing/2012/chart" uri="{02D57815-91ED-43cb-92C2-25804820EDAC}">
            <c15:filteredBarSeries>
              <c15:ser>
                <c:idx val="1"/>
                <c:order val="1"/>
                <c:tx>
                  <c:strRef>
                    <c:extLst>
                      <c:ext uri="{02D57815-91ED-43cb-92C2-25804820EDAC}">
                        <c15:formulaRef>
                          <c15:sqref>'Tabel Bantuan'!$U$16</c15:sqref>
                        </c15:formulaRef>
                      </c:ext>
                    </c:extLst>
                    <c:strCache>
                      <c:ptCount val="1"/>
                    </c:strCache>
                  </c:strRef>
                </c:tx>
                <c:spPr>
                  <a:solidFill>
                    <a:schemeClr val="accent2"/>
                  </a:solidFill>
                  <a:ln>
                    <a:noFill/>
                  </a:ln>
                  <a:effectLst/>
                </c:spPr>
                <c:invertIfNegative val="0"/>
                <c:cat>
                  <c:numRef>
                    <c:extLst>
                      <c:ext uri="{02D57815-91ED-43cb-92C2-25804820EDAC}">
                        <c15:formulaRef>
                          <c15:sqref>'Tabel Bantuan'!$S$17:$S$21</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ormulaRef>
                          <c15:sqref>'Tabel Bantuan'!$U$17:$U$21</c15:sqref>
                        </c15:formulaRef>
                      </c:ext>
                    </c:extLst>
                    <c:numCache>
                      <c:formatCode>#,##0</c:formatCode>
                      <c:ptCount val="5"/>
                    </c:numCache>
                  </c:numRef>
                </c:val>
                <c:extLst>
                  <c:ext xmlns:c16="http://schemas.microsoft.com/office/drawing/2014/chart" uri="{C3380CC4-5D6E-409C-BE32-E72D297353CC}">
                    <c16:uniqueId val="{00000001-5C91-644F-B05B-641B8EE17D49}"/>
                  </c:ext>
                </c:extLst>
              </c15:ser>
            </c15:filteredBarSeries>
          </c:ext>
        </c:extLst>
      </c:barChart>
      <c:catAx>
        <c:axId val="120994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98543"/>
        <c:crosses val="autoZero"/>
        <c:auto val="1"/>
        <c:lblAlgn val="ctr"/>
        <c:lblOffset val="100"/>
        <c:noMultiLvlLbl val="0"/>
      </c:catAx>
      <c:valAx>
        <c:axId val="1209198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45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10 Negara Penyumbang</a:t>
            </a:r>
            <a:r>
              <a:rPr lang="en-US" sz="1100" baseline="0">
                <a:solidFill>
                  <a:schemeClr val="tx1"/>
                </a:solidFill>
              </a:rPr>
              <a:t> Wisatawan Mancanegara Terbanyak (2021-2025)</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'Tabel Bantuan'!$K$26</c:f>
              <c:strCache>
                <c:ptCount val="1"/>
                <c:pt idx="0">
                  <c:v>Wisman</c:v>
                </c:pt>
              </c:strCache>
            </c:strRef>
          </c:tx>
          <c:spPr>
            <a:solidFill>
              <a:schemeClr val="accent1">
                <a:lumMod val="75000"/>
              </a:schemeClr>
            </a:solidFill>
            <a:ln>
              <a:noFill/>
            </a:ln>
            <a:effectLst/>
          </c:spPr>
          <c:invertIfNegative val="0"/>
          <c:cat>
            <c:strRef>
              <c:f>'Tabel Bantuan'!$J$27:$J$36</c:f>
              <c:strCache>
                <c:ptCount val="10"/>
                <c:pt idx="0">
                  <c:v>Malaysia</c:v>
                </c:pt>
                <c:pt idx="1">
                  <c:v>Singapore</c:v>
                </c:pt>
                <c:pt idx="2">
                  <c:v>Timor Leste</c:v>
                </c:pt>
                <c:pt idx="3">
                  <c:v>Indonesia</c:v>
                </c:pt>
                <c:pt idx="4">
                  <c:v>Philippines</c:v>
                </c:pt>
                <c:pt idx="5">
                  <c:v>Thailand</c:v>
                </c:pt>
                <c:pt idx="6">
                  <c:v>Vietnam</c:v>
                </c:pt>
                <c:pt idx="7">
                  <c:v>Myanmar/Burma</c:v>
                </c:pt>
                <c:pt idx="8">
                  <c:v>Brunei Darussalam</c:v>
                </c:pt>
                <c:pt idx="9">
                  <c:v>Kamboja</c:v>
                </c:pt>
              </c:strCache>
            </c:strRef>
          </c:cat>
          <c:val>
            <c:numRef>
              <c:f>'Tabel Bantuan'!$K$27:$K$36</c:f>
              <c:numCache>
                <c:formatCode>General</c:formatCode>
                <c:ptCount val="10"/>
                <c:pt idx="0">
                  <c:v>8504844</c:v>
                </c:pt>
                <c:pt idx="1">
                  <c:v>5515700</c:v>
                </c:pt>
                <c:pt idx="2">
                  <c:v>5101684</c:v>
                </c:pt>
                <c:pt idx="3">
                  <c:v>4047181</c:v>
                </c:pt>
                <c:pt idx="4">
                  <c:v>3553623</c:v>
                </c:pt>
                <c:pt idx="5">
                  <c:v>2339620</c:v>
                </c:pt>
                <c:pt idx="6">
                  <c:v>1845963</c:v>
                </c:pt>
                <c:pt idx="7">
                  <c:v>1431034</c:v>
                </c:pt>
                <c:pt idx="8">
                  <c:v>1411740</c:v>
                </c:pt>
                <c:pt idx="9">
                  <c:v>1315975</c:v>
                </c:pt>
              </c:numCache>
            </c:numRef>
          </c:val>
          <c:extLst>
            <c:ext xmlns:c16="http://schemas.microsoft.com/office/drawing/2014/chart" uri="{C3380CC4-5D6E-409C-BE32-E72D297353CC}">
              <c16:uniqueId val="{00000000-C4DC-6F48-8798-08478D57E85C}"/>
            </c:ext>
          </c:extLst>
        </c:ser>
        <c:dLbls>
          <c:showLegendKey val="0"/>
          <c:showVal val="0"/>
          <c:showCatName val="0"/>
          <c:showSerName val="0"/>
          <c:showPercent val="0"/>
          <c:showBubbleSize val="0"/>
        </c:dLbls>
        <c:gapWidth val="219"/>
        <c:overlap val="-27"/>
        <c:axId val="457223679"/>
        <c:axId val="457269551"/>
      </c:barChart>
      <c:catAx>
        <c:axId val="4572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69551"/>
        <c:crosses val="autoZero"/>
        <c:auto val="1"/>
        <c:lblAlgn val="ctr"/>
        <c:lblOffset val="100"/>
        <c:noMultiLvlLbl val="0"/>
      </c:catAx>
      <c:valAx>
        <c:axId val="457269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000">
                    <a:solidFill>
                      <a:schemeClr val="tx1"/>
                    </a:solidFill>
                  </a:rPr>
                  <a:t>Jumlah</a:t>
                </a:r>
                <a:r>
                  <a:rPr lang="en-US" sz="1000" baseline="0">
                    <a:solidFill>
                      <a:schemeClr val="tx1"/>
                    </a:solidFill>
                  </a:rPr>
                  <a:t> Wisatawan (orang)</a:t>
                </a:r>
                <a:endParaRPr lang="en-US" sz="100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23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Jumlah Wisatawan Mancanegara Per-Tahun Berdasarkan Kawasan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'Tabel Bantuan'!$G$22</c:f>
              <c:strCache>
                <c:ptCount val="1"/>
                <c:pt idx="0">
                  <c:v>Jumlah</c:v>
                </c:pt>
              </c:strCache>
            </c:strRef>
          </c:tx>
          <c:spPr>
            <a:solidFill>
              <a:schemeClr val="accent6">
                <a:lumMod val="50000"/>
              </a:schemeClr>
            </a:solidFill>
            <a:ln>
              <a:noFill/>
            </a:ln>
            <a:effectLst/>
          </c:spPr>
          <c:invertIfNegative val="0"/>
          <c:cat>
            <c:strRef>
              <c:f>'Tabel Bantuan'!$F$23:$F$29</c:f>
              <c:strCache>
                <c:ptCount val="7"/>
                <c:pt idx="0">
                  <c:v>ASEAN</c:v>
                </c:pt>
                <c:pt idx="1">
                  <c:v>ASIA (Excl. Asean)</c:v>
                </c:pt>
                <c:pt idx="2">
                  <c:v>MIDDLE EAST</c:v>
                </c:pt>
                <c:pt idx="3">
                  <c:v>EUROPE</c:v>
                </c:pt>
                <c:pt idx="4">
                  <c:v>AMERICA</c:v>
                </c:pt>
                <c:pt idx="5">
                  <c:v>OCEANIA</c:v>
                </c:pt>
                <c:pt idx="6">
                  <c:v>AFRICA</c:v>
                </c:pt>
              </c:strCache>
            </c:strRef>
          </c:cat>
          <c:val>
            <c:numRef>
              <c:f>'Tabel Bantuan'!$G$23:$G$29</c:f>
              <c:numCache>
                <c:formatCode>#,##0</c:formatCode>
                <c:ptCount val="7"/>
                <c:pt idx="0">
                  <c:v>6356941</c:v>
                </c:pt>
                <c:pt idx="1">
                  <c:v>3498891</c:v>
                </c:pt>
                <c:pt idx="2">
                  <c:v>260098</c:v>
                </c:pt>
                <c:pt idx="3">
                  <c:v>2456951</c:v>
                </c:pt>
                <c:pt idx="4">
                  <c:v>615801</c:v>
                </c:pt>
                <c:pt idx="5">
                  <c:v>2094440</c:v>
                </c:pt>
                <c:pt idx="6">
                  <c:v>103524</c:v>
                </c:pt>
              </c:numCache>
            </c:numRef>
          </c:val>
          <c:extLst>
            <c:ext xmlns:c16="http://schemas.microsoft.com/office/drawing/2014/chart" uri="{C3380CC4-5D6E-409C-BE32-E72D297353CC}">
              <c16:uniqueId val="{00000000-22B8-B746-9AFF-D0348919FFA2}"/>
            </c:ext>
          </c:extLst>
        </c:ser>
        <c:dLbls>
          <c:showLegendKey val="0"/>
          <c:showVal val="0"/>
          <c:showCatName val="0"/>
          <c:showSerName val="0"/>
          <c:showPercent val="0"/>
          <c:showBubbleSize val="0"/>
        </c:dLbls>
        <c:gapWidth val="219"/>
        <c:overlap val="-27"/>
        <c:axId val="1783386879"/>
        <c:axId val="1783380111"/>
        <c:extLst>
          <c:ext xmlns:c15="http://schemas.microsoft.com/office/drawing/2012/chart" uri="{02D57815-91ED-43cb-92C2-25804820EDAC}">
            <c15:filteredBarSeries>
              <c15:ser>
                <c:idx val="1"/>
                <c:order val="1"/>
                <c:tx>
                  <c:strRef>
                    <c:extLst>
                      <c:ext uri="{02D57815-91ED-43cb-92C2-25804820EDAC}">
                        <c15:formulaRef>
                          <c15:sqref>'Tabel Bantuan'!$H$22</c15:sqref>
                        </c15:formulaRef>
                      </c:ext>
                    </c:extLst>
                    <c:strCache>
                      <c:ptCount val="1"/>
                    </c:strCache>
                  </c:strRef>
                </c:tx>
                <c:spPr>
                  <a:solidFill>
                    <a:schemeClr val="accent2"/>
                  </a:solidFill>
                  <a:ln>
                    <a:noFill/>
                  </a:ln>
                  <a:effectLst/>
                </c:spPr>
                <c:invertIfNegative val="0"/>
                <c:cat>
                  <c:strRef>
                    <c:extLst>
                      <c:ext uri="{02D57815-91ED-43cb-92C2-25804820EDAC}">
                        <c15:formulaRef>
                          <c15:sqref>'Tabel Bantuan'!$F$23:$F$29</c15:sqref>
                        </c15:formulaRef>
                      </c:ext>
                    </c:extLst>
                    <c:strCache>
                      <c:ptCount val="7"/>
                      <c:pt idx="0">
                        <c:v>ASEAN</c:v>
                      </c:pt>
                      <c:pt idx="1">
                        <c:v>ASIA (Excl. Asean)</c:v>
                      </c:pt>
                      <c:pt idx="2">
                        <c:v>MIDDLE EAST</c:v>
                      </c:pt>
                      <c:pt idx="3">
                        <c:v>EUROPE</c:v>
                      </c:pt>
                      <c:pt idx="4">
                        <c:v>AMERICA</c:v>
                      </c:pt>
                      <c:pt idx="5">
                        <c:v>OCEANIA</c:v>
                      </c:pt>
                      <c:pt idx="6">
                        <c:v>AFRICA</c:v>
                      </c:pt>
                    </c:strCache>
                  </c:strRef>
                </c:cat>
                <c:val>
                  <c:numRef>
                    <c:extLst>
                      <c:ext uri="{02D57815-91ED-43cb-92C2-25804820EDAC}">
                        <c15:formulaRef>
                          <c15:sqref>'Tabel Bantuan'!$H$23:$H$29</c15:sqref>
                        </c15:formulaRef>
                      </c:ext>
                    </c:extLst>
                    <c:numCache>
                      <c:formatCode>#,##0</c:formatCode>
                      <c:ptCount val="7"/>
                    </c:numCache>
                  </c:numRef>
                </c:val>
                <c:extLst>
                  <c:ext xmlns:c16="http://schemas.microsoft.com/office/drawing/2014/chart" uri="{C3380CC4-5D6E-409C-BE32-E72D297353CC}">
                    <c16:uniqueId val="{00000001-22B8-B746-9AFF-D0348919FFA2}"/>
                  </c:ext>
                </c:extLst>
              </c15:ser>
            </c15:filteredBarSeries>
          </c:ext>
        </c:extLst>
      </c:barChart>
      <c:catAx>
        <c:axId val="17833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83380111"/>
        <c:crosses val="autoZero"/>
        <c:auto val="1"/>
        <c:lblAlgn val="ctr"/>
        <c:lblOffset val="100"/>
        <c:noMultiLvlLbl val="0"/>
      </c:catAx>
      <c:valAx>
        <c:axId val="1783380111"/>
        <c:scaling>
          <c:orientation val="minMax"/>
          <c:max val="7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000">
                    <a:solidFill>
                      <a:schemeClr val="tx1"/>
                    </a:solidFill>
                  </a:rPr>
                  <a:t>Jumlah Wisatawan (ribu orang)</a:t>
                </a:r>
              </a:p>
            </c:rich>
          </c:tx>
          <c:layout>
            <c:manualLayout>
              <c:xMode val="edge"/>
              <c:yMode val="edge"/>
              <c:x val="3.1803075799834837E-2"/>
              <c:y val="0.169945744840710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386879"/>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US" sz="1050">
                <a:solidFill>
                  <a:schemeClr val="tx1"/>
                </a:solidFill>
              </a:rPr>
              <a:t>Jalur Pintu Masuk</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tx>
            <c:strRef>
              <c:f>'Tabel Bantuan'!$G$13</c:f>
              <c:strCache>
                <c:ptCount val="1"/>
                <c:pt idx="0">
                  <c:v>Jumlah</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E201-0249-B7D9-7AAB7966AAF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201-0249-B7D9-7AAB7966AAFF}"/>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E201-0249-B7D9-7AAB7966AAFF}"/>
              </c:ext>
            </c:extLst>
          </c:dPt>
          <c:cat>
            <c:strRef>
              <c:f>'Tabel Bantuan'!$F$14:$F$16</c:f>
              <c:strCache>
                <c:ptCount val="3"/>
                <c:pt idx="0">
                  <c:v>Pintu Udara</c:v>
                </c:pt>
                <c:pt idx="1">
                  <c:v>Pintu Laut</c:v>
                </c:pt>
                <c:pt idx="2">
                  <c:v>Pintu Darat</c:v>
                </c:pt>
              </c:strCache>
            </c:strRef>
          </c:cat>
          <c:val>
            <c:numRef>
              <c:f>'Tabel Bantuan'!$G$14:$G$16</c:f>
              <c:numCache>
                <c:formatCode>#,##0</c:formatCode>
                <c:ptCount val="3"/>
                <c:pt idx="0">
                  <c:v>10819291</c:v>
                </c:pt>
                <c:pt idx="1">
                  <c:v>3028847</c:v>
                </c:pt>
                <c:pt idx="2">
                  <c:v>1538508</c:v>
                </c:pt>
              </c:numCache>
            </c:numRef>
          </c:val>
          <c:extLst>
            <c:ext xmlns:c16="http://schemas.microsoft.com/office/drawing/2014/chart" uri="{C3380CC4-5D6E-409C-BE32-E72D297353CC}">
              <c16:uniqueId val="{00000006-E201-0249-B7D9-7AAB7966AAFF}"/>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'Tabel Bantuan'!$H$13</c15:sqref>
                        </c15:formulaRef>
                      </c:ext>
                    </c:extLst>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201-0249-B7D9-7AAB7966AA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201-0249-B7D9-7AAB7966AA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201-0249-B7D9-7AAB7966AAFF}"/>
                    </c:ext>
                  </c:extLst>
                </c:dPt>
                <c:cat>
                  <c:strRef>
                    <c:extLst>
                      <c:ext uri="{02D57815-91ED-43cb-92C2-25804820EDAC}">
                        <c15:formulaRef>
                          <c15:sqref>'Tabel Bantuan'!$F$14:$F$16</c15:sqref>
                        </c15:formulaRef>
                      </c:ext>
                    </c:extLst>
                    <c:strCache>
                      <c:ptCount val="3"/>
                      <c:pt idx="0">
                        <c:v>Pintu Udara</c:v>
                      </c:pt>
                      <c:pt idx="1">
                        <c:v>Pintu Laut</c:v>
                      </c:pt>
                      <c:pt idx="2">
                        <c:v>Pintu Darat</c:v>
                      </c:pt>
                    </c:strCache>
                  </c:strRef>
                </c:cat>
                <c:val>
                  <c:numRef>
                    <c:extLst>
                      <c:ext uri="{02D57815-91ED-43cb-92C2-25804820EDAC}">
                        <c15:formulaRef>
                          <c15:sqref>'Tabel Bantuan'!$H$14:$H$16</c15:sqref>
                        </c15:formulaRef>
                      </c:ext>
                    </c:extLst>
                    <c:numCache>
                      <c:formatCode>#,##0</c:formatCode>
                      <c:ptCount val="3"/>
                    </c:numCache>
                  </c:numRef>
                </c:val>
                <c:extLst>
                  <c:ext xmlns:c16="http://schemas.microsoft.com/office/drawing/2014/chart" uri="{C3380CC4-5D6E-409C-BE32-E72D297353CC}">
                    <c16:uniqueId val="{0000000D-E201-0249-B7D9-7AAB7966AAFF}"/>
                  </c:ext>
                </c:extLst>
              </c15:ser>
            </c15:filteredPieSeries>
          </c:ext>
        </c:extLst>
      </c:pieChart>
      <c:spPr>
        <a:noFill/>
        <a:ln>
          <a:noFill/>
        </a:ln>
        <a:effectLst/>
      </c:spPr>
    </c:plotArea>
    <c:legend>
      <c:legendPos val="r"/>
      <c:layout>
        <c:manualLayout>
          <c:xMode val="edge"/>
          <c:yMode val="edge"/>
          <c:x val="0.56734154509899382"/>
          <c:y val="0.40631380911140408"/>
          <c:w val="0.4041653742885844"/>
          <c:h val="0.3925120090208040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ist" dx="15" fmlaLink="'Tabel Bantuan'!$K$2" fmlaRange="'Tabel Bantuan'!$J$11:$J$17" noThreeD="1" sel="2" val="0"/>
</file>

<file path=xl/ctrlProps/ctrlProp2.xml><?xml version="1.0" encoding="utf-8"?>
<formControlPr xmlns="http://schemas.microsoft.com/office/spreadsheetml/2009/9/main" objectType="List" dx="15" fmlaLink="'Tabel Bantuan'!$B$31" fmlaRange="'Tabel Bantuan'!$B$25:$B$29" noThreeD="1" sel="5" val="0"/>
</file>

<file path=xl/ctrlProps/ctrlProp3.xml><?xml version="1.0" encoding="utf-8"?>
<formControlPr xmlns="http://schemas.microsoft.com/office/spreadsheetml/2009/9/main" objectType="List" dx="15" fmlaLink="'Tabel Bantuan'!$B$31" fmlaRange="'Tabel Bantuan'!$B$25:$B$29" noThreeD="1" sel="5" val="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325120</xdr:colOff>
      <xdr:row>25</xdr:row>
      <xdr:rowOff>30480</xdr:rowOff>
    </xdr:from>
    <xdr:to>
      <xdr:col>16</xdr:col>
      <xdr:colOff>782320</xdr:colOff>
      <xdr:row>38</xdr:row>
      <xdr:rowOff>132080</xdr:rowOff>
    </xdr:to>
    <xdr:graphicFrame macro="">
      <xdr:nvGraphicFramePr>
        <xdr:cNvPr id="2" name="Chart 1">
          <a:extLst>
            <a:ext uri="{FF2B5EF4-FFF2-40B4-BE49-F238E27FC236}">
              <a16:creationId xmlns:a16="http://schemas.microsoft.com/office/drawing/2014/main" id="{234FA10E-3DB8-0DC4-8CCD-705303C1B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88900</xdr:colOff>
          <xdr:row>2</xdr:row>
          <xdr:rowOff>190500</xdr:rowOff>
        </xdr:from>
        <xdr:to>
          <xdr:col>20</xdr:col>
          <xdr:colOff>723900</xdr:colOff>
          <xdr:row>10</xdr:row>
          <xdr:rowOff>63500</xdr:rowOff>
        </xdr:to>
        <xdr:sp macro="" textlink="">
          <xdr:nvSpPr>
            <xdr:cNvPr id="2052" name="List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406400</xdr:colOff>
          <xdr:row>23</xdr:row>
          <xdr:rowOff>0</xdr:rowOff>
        </xdr:from>
        <xdr:to>
          <xdr:col>3</xdr:col>
          <xdr:colOff>558800</xdr:colOff>
          <xdr:row>28</xdr:row>
          <xdr:rowOff>127000</xdr:rowOff>
        </xdr:to>
        <xdr:sp macro="" textlink="">
          <xdr:nvSpPr>
            <xdr:cNvPr id="2053" name="List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173322</xdr:colOff>
      <xdr:row>37</xdr:row>
      <xdr:rowOff>103409</xdr:rowOff>
    </xdr:from>
    <xdr:to>
      <xdr:col>7</xdr:col>
      <xdr:colOff>793082</xdr:colOff>
      <xdr:row>49</xdr:row>
      <xdr:rowOff>113568</xdr:rowOff>
    </xdr:to>
    <xdr:graphicFrame macro="">
      <xdr:nvGraphicFramePr>
        <xdr:cNvPr id="4" name="Chart 3">
          <a:extLst>
            <a:ext uri="{FF2B5EF4-FFF2-40B4-BE49-F238E27FC236}">
              <a16:creationId xmlns:a16="http://schemas.microsoft.com/office/drawing/2014/main" id="{81E7D792-9B34-917D-D8ED-432EB7304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355600</xdr:colOff>
      <xdr:row>33</xdr:row>
      <xdr:rowOff>20320</xdr:rowOff>
    </xdr:from>
    <xdr:to>
      <xdr:col>2</xdr:col>
      <xdr:colOff>690880</xdr:colOff>
      <xdr:row>44</xdr:row>
      <xdr:rowOff>10160</xdr:rowOff>
    </xdr:to>
    <xdr:graphicFrame macro="">
      <xdr:nvGraphicFramePr>
        <xdr:cNvPr id="5" name="Chart 4">
          <a:extLst>
            <a:ext uri="{FF2B5EF4-FFF2-40B4-BE49-F238E27FC236}">
              <a16:creationId xmlns:a16="http://schemas.microsoft.com/office/drawing/2014/main" id="{4B0E6080-F804-491C-11F8-4D387BFC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690880</xdr:colOff>
      <xdr:row>24</xdr:row>
      <xdr:rowOff>172720</xdr:rowOff>
    </xdr:from>
    <xdr:to>
      <xdr:col>23</xdr:col>
      <xdr:colOff>71120</xdr:colOff>
      <xdr:row>38</xdr:row>
      <xdr:rowOff>40640</xdr:rowOff>
    </xdr:to>
    <xdr:graphicFrame macro="">
      <xdr:nvGraphicFramePr>
        <xdr:cNvPr id="6" name="Chart 5">
          <a:extLst>
            <a:ext uri="{FF2B5EF4-FFF2-40B4-BE49-F238E27FC236}">
              <a16:creationId xmlns:a16="http://schemas.microsoft.com/office/drawing/2014/main" id="{18D2EBCE-E276-5AA8-8A1D-940202456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294640</xdr:colOff>
      <xdr:row>11</xdr:row>
      <xdr:rowOff>71120</xdr:rowOff>
    </xdr:from>
    <xdr:to>
      <xdr:col>26</xdr:col>
      <xdr:colOff>406400</xdr:colOff>
      <xdr:row>23</xdr:row>
      <xdr:rowOff>121920</xdr:rowOff>
    </xdr:to>
    <xdr:graphicFrame macro="">
      <xdr:nvGraphicFramePr>
        <xdr:cNvPr id="8" name="Chart 7">
          <a:extLst>
            <a:ext uri="{FF2B5EF4-FFF2-40B4-BE49-F238E27FC236}">
              <a16:creationId xmlns:a16="http://schemas.microsoft.com/office/drawing/2014/main" id="{FE3F89A4-1A79-B5FA-FA9D-BA0C10F00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4</xdr:row>
      <xdr:rowOff>1</xdr:rowOff>
    </xdr:from>
    <xdr:to>
      <xdr:col>8</xdr:col>
      <xdr:colOff>0</xdr:colOff>
      <xdr:row>15</xdr:row>
      <xdr:rowOff>194672</xdr:rowOff>
    </xdr:to>
    <xdr:graphicFrame macro="">
      <xdr:nvGraphicFramePr>
        <xdr:cNvPr id="2" name="Chart 1">
          <a:extLst>
            <a:ext uri="{FF2B5EF4-FFF2-40B4-BE49-F238E27FC236}">
              <a16:creationId xmlns:a16="http://schemas.microsoft.com/office/drawing/2014/main" id="{813DF814-6783-2340-97CC-3248E5C96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0</xdr:colOff>
          <xdr:row>18</xdr:row>
          <xdr:rowOff>12700</xdr:rowOff>
        </xdr:from>
        <xdr:to>
          <xdr:col>3</xdr:col>
          <xdr:colOff>190500</xdr:colOff>
          <xdr:row>22</xdr:row>
          <xdr:rowOff>203200</xdr:rowOff>
        </xdr:to>
        <xdr:sp macro="" textlink="">
          <xdr:nvSpPr>
            <xdr:cNvPr id="1026" name="List Box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206738</xdr:colOff>
      <xdr:row>18</xdr:row>
      <xdr:rowOff>19492</xdr:rowOff>
    </xdr:from>
    <xdr:to>
      <xdr:col>9</xdr:col>
      <xdr:colOff>0</xdr:colOff>
      <xdr:row>30</xdr:row>
      <xdr:rowOff>1</xdr:rowOff>
    </xdr:to>
    <xdr:graphicFrame macro="">
      <xdr:nvGraphicFramePr>
        <xdr:cNvPr id="3" name="Chart 2">
          <a:extLst>
            <a:ext uri="{FF2B5EF4-FFF2-40B4-BE49-F238E27FC236}">
              <a16:creationId xmlns:a16="http://schemas.microsoft.com/office/drawing/2014/main" id="{2E36C0CA-9D19-6149-A4E6-F46170B2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10621</xdr:colOff>
      <xdr:row>23</xdr:row>
      <xdr:rowOff>72573</xdr:rowOff>
    </xdr:from>
    <xdr:to>
      <xdr:col>3</xdr:col>
      <xdr:colOff>208643</xdr:colOff>
      <xdr:row>29</xdr:row>
      <xdr:rowOff>199570</xdr:rowOff>
    </xdr:to>
    <xdr:graphicFrame macro="">
      <xdr:nvGraphicFramePr>
        <xdr:cNvPr id="4" name="Chart 3">
          <a:extLst>
            <a:ext uri="{FF2B5EF4-FFF2-40B4-BE49-F238E27FC236}">
              <a16:creationId xmlns:a16="http://schemas.microsoft.com/office/drawing/2014/main" id="{733E0679-D56E-0A43-B1C0-BF6C425E3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B97B-A605-A648-B02A-990FC4C8F8F2}">
  <dimension ref="A1:BQ292"/>
  <sheetViews>
    <sheetView zoomScale="110" zoomScaleNormal="30" workbookViewId="0">
      <selection activeCell="G40" sqref="G40"/>
    </sheetView>
  </sheetViews>
  <sheetFormatPr baseColWidth="10" defaultRowHeight="16" x14ac:dyDescent="0.2"/>
  <cols>
    <col min="1" max="1" width="10.83203125" style="3"/>
    <col min="2" max="2" width="25" customWidth="1"/>
    <col min="15" max="15" width="10.83203125" style="2"/>
    <col min="28" max="28" width="10.83203125" style="2"/>
    <col min="41" max="41" width="10.83203125" style="2"/>
    <col min="54" max="54" width="10.83203125" style="2"/>
    <col min="67" max="67" width="10.83203125" style="2"/>
    <col min="68" max="68" width="10.83203125" style="3"/>
  </cols>
  <sheetData>
    <row r="1" spans="1:68" x14ac:dyDescent="0.2">
      <c r="A1" s="40"/>
      <c r="B1" s="39" t="s">
        <v>0</v>
      </c>
      <c r="C1" s="39" t="s">
        <v>50</v>
      </c>
      <c r="D1" s="39"/>
      <c r="E1" s="39"/>
      <c r="F1" s="39"/>
      <c r="G1" s="39"/>
      <c r="H1" s="39"/>
      <c r="I1" s="39"/>
      <c r="J1" s="39"/>
      <c r="K1" s="39"/>
      <c r="L1" s="39"/>
      <c r="M1" s="39"/>
      <c r="N1" s="39"/>
      <c r="O1" s="39"/>
      <c r="BO1"/>
      <c r="BP1" s="1"/>
    </row>
    <row r="2" spans="1:68" x14ac:dyDescent="0.2">
      <c r="A2" s="40"/>
      <c r="B2" s="39"/>
      <c r="C2" s="39"/>
      <c r="D2" s="39"/>
      <c r="E2" s="39"/>
      <c r="F2" s="39"/>
      <c r="G2" s="39"/>
      <c r="H2" s="39"/>
      <c r="I2" s="39"/>
      <c r="J2" s="39"/>
      <c r="K2" s="39"/>
      <c r="L2" s="39"/>
      <c r="M2" s="39"/>
      <c r="N2" s="39"/>
      <c r="O2" s="39"/>
      <c r="BO2"/>
      <c r="BP2" s="1"/>
    </row>
    <row r="3" spans="1:68" x14ac:dyDescent="0.2">
      <c r="A3" s="40"/>
      <c r="B3" s="39"/>
      <c r="C3" s="39">
        <v>2021</v>
      </c>
      <c r="D3" s="39"/>
      <c r="E3" s="39"/>
      <c r="F3" s="39"/>
      <c r="G3" s="39"/>
      <c r="H3" s="39"/>
      <c r="I3" s="39"/>
      <c r="J3" s="39"/>
      <c r="K3" s="39"/>
      <c r="L3" s="39"/>
      <c r="M3" s="39"/>
      <c r="N3" s="39"/>
      <c r="O3" s="39"/>
      <c r="P3" s="39">
        <v>2022</v>
      </c>
      <c r="Q3" s="39"/>
      <c r="R3" s="39"/>
      <c r="S3" s="39"/>
      <c r="T3" s="39"/>
      <c r="U3" s="39"/>
      <c r="V3" s="39"/>
      <c r="W3" s="39"/>
      <c r="X3" s="39"/>
      <c r="Y3" s="39"/>
      <c r="Z3" s="39"/>
      <c r="AA3" s="39"/>
      <c r="AB3" s="39"/>
      <c r="AC3" s="39">
        <v>2023</v>
      </c>
      <c r="AD3" s="39"/>
      <c r="AE3" s="39"/>
      <c r="AF3" s="39"/>
      <c r="AG3" s="39"/>
      <c r="AH3" s="39"/>
      <c r="AI3" s="39"/>
      <c r="AJ3" s="39"/>
      <c r="AK3" s="39"/>
      <c r="AL3" s="39"/>
      <c r="AM3" s="39"/>
      <c r="AN3" s="39"/>
      <c r="AO3" s="39"/>
      <c r="AP3" s="39">
        <v>2024</v>
      </c>
      <c r="AQ3" s="39"/>
      <c r="AR3" s="39"/>
      <c r="AS3" s="39"/>
      <c r="AT3" s="39"/>
      <c r="AU3" s="39"/>
      <c r="AV3" s="39"/>
      <c r="AW3" s="39"/>
      <c r="AX3" s="39"/>
      <c r="AY3" s="39"/>
      <c r="AZ3" s="39"/>
      <c r="BA3" s="39"/>
      <c r="BB3" s="39"/>
      <c r="BC3" s="39">
        <v>2025</v>
      </c>
      <c r="BD3" s="39"/>
      <c r="BE3" s="39"/>
      <c r="BF3" s="39"/>
      <c r="BG3" s="39"/>
      <c r="BH3" s="39"/>
      <c r="BI3" s="39"/>
      <c r="BJ3" s="39"/>
      <c r="BK3" s="39"/>
      <c r="BL3" s="39"/>
      <c r="BM3" s="39"/>
      <c r="BN3" s="39"/>
      <c r="BO3" s="39"/>
      <c r="BP3" s="1"/>
    </row>
    <row r="4" spans="1:68" x14ac:dyDescent="0.2">
      <c r="A4" s="40"/>
      <c r="B4" s="39"/>
      <c r="C4" s="1" t="s">
        <v>1</v>
      </c>
      <c r="D4" s="1" t="s">
        <v>2</v>
      </c>
      <c r="E4" s="1" t="s">
        <v>3</v>
      </c>
      <c r="F4" s="1" t="s">
        <v>4</v>
      </c>
      <c r="G4" s="1" t="s">
        <v>5</v>
      </c>
      <c r="H4" s="1" t="s">
        <v>6</v>
      </c>
      <c r="I4" s="1" t="s">
        <v>7</v>
      </c>
      <c r="J4" s="1" t="s">
        <v>8</v>
      </c>
      <c r="K4" s="1" t="s">
        <v>9</v>
      </c>
      <c r="L4" s="1" t="s">
        <v>10</v>
      </c>
      <c r="M4" s="1" t="s">
        <v>11</v>
      </c>
      <c r="N4" s="1" t="s">
        <v>12</v>
      </c>
      <c r="O4" s="3" t="s">
        <v>13</v>
      </c>
      <c r="P4" s="1" t="s">
        <v>1</v>
      </c>
      <c r="Q4" s="1" t="s">
        <v>2</v>
      </c>
      <c r="R4" s="1" t="s">
        <v>3</v>
      </c>
      <c r="S4" s="1" t="s">
        <v>4</v>
      </c>
      <c r="T4" s="1" t="s">
        <v>5</v>
      </c>
      <c r="U4" s="1" t="s">
        <v>6</v>
      </c>
      <c r="V4" s="1" t="s">
        <v>7</v>
      </c>
      <c r="W4" s="1" t="s">
        <v>8</v>
      </c>
      <c r="X4" s="1" t="s">
        <v>9</v>
      </c>
      <c r="Y4" s="1" t="s">
        <v>10</v>
      </c>
      <c r="Z4" s="1" t="s">
        <v>11</v>
      </c>
      <c r="AA4" s="1" t="s">
        <v>12</v>
      </c>
      <c r="AB4" s="3" t="s">
        <v>13</v>
      </c>
      <c r="AC4" s="1" t="s">
        <v>1</v>
      </c>
      <c r="AD4" s="1" t="s">
        <v>2</v>
      </c>
      <c r="AE4" s="1" t="s">
        <v>3</v>
      </c>
      <c r="AF4" s="1" t="s">
        <v>4</v>
      </c>
      <c r="AG4" s="1" t="s">
        <v>5</v>
      </c>
      <c r="AH4" s="1" t="s">
        <v>6</v>
      </c>
      <c r="AI4" s="1" t="s">
        <v>7</v>
      </c>
      <c r="AJ4" s="1" t="s">
        <v>8</v>
      </c>
      <c r="AK4" s="1" t="s">
        <v>9</v>
      </c>
      <c r="AL4" s="1" t="s">
        <v>10</v>
      </c>
      <c r="AM4" s="1" t="s">
        <v>11</v>
      </c>
      <c r="AN4" s="1" t="s">
        <v>12</v>
      </c>
      <c r="AO4" s="3" t="s">
        <v>13</v>
      </c>
      <c r="AP4" s="1" t="s">
        <v>1</v>
      </c>
      <c r="AQ4" s="1" t="s">
        <v>2</v>
      </c>
      <c r="AR4" s="1" t="s">
        <v>3</v>
      </c>
      <c r="AS4" s="1" t="s">
        <v>4</v>
      </c>
      <c r="AT4" s="1" t="s">
        <v>5</v>
      </c>
      <c r="AU4" s="1" t="s">
        <v>6</v>
      </c>
      <c r="AV4" s="1" t="s">
        <v>7</v>
      </c>
      <c r="AW4" s="1" t="s">
        <v>8</v>
      </c>
      <c r="AX4" s="1" t="s">
        <v>9</v>
      </c>
      <c r="AY4" s="1" t="s">
        <v>10</v>
      </c>
      <c r="AZ4" s="1" t="s">
        <v>11</v>
      </c>
      <c r="BA4" s="1" t="s">
        <v>12</v>
      </c>
      <c r="BB4" s="3" t="s">
        <v>13</v>
      </c>
      <c r="BC4" s="1" t="s">
        <v>1</v>
      </c>
      <c r="BD4" s="1" t="s">
        <v>2</v>
      </c>
      <c r="BE4" s="1" t="s">
        <v>3</v>
      </c>
      <c r="BF4" s="1" t="s">
        <v>4</v>
      </c>
      <c r="BG4" s="1" t="s">
        <v>5</v>
      </c>
      <c r="BH4" s="1" t="s">
        <v>6</v>
      </c>
      <c r="BI4" s="1" t="s">
        <v>7</v>
      </c>
      <c r="BJ4" s="1" t="s">
        <v>8</v>
      </c>
      <c r="BK4" s="1" t="s">
        <v>9</v>
      </c>
      <c r="BL4" s="1" t="s">
        <v>10</v>
      </c>
      <c r="BM4" s="1" t="s">
        <v>11</v>
      </c>
      <c r="BN4" s="1" t="s">
        <v>12</v>
      </c>
      <c r="BO4" s="3" t="s">
        <v>13</v>
      </c>
      <c r="BP4" s="3" t="s">
        <v>49</v>
      </c>
    </row>
    <row r="5" spans="1:68" s="2" customFormat="1" x14ac:dyDescent="0.2">
      <c r="A5" s="3" t="s">
        <v>300</v>
      </c>
      <c r="B5" s="2" t="s">
        <v>14</v>
      </c>
      <c r="C5" s="20">
        <v>1731</v>
      </c>
      <c r="D5" s="20">
        <v>7110</v>
      </c>
      <c r="E5" s="20">
        <v>12852</v>
      </c>
      <c r="F5" s="20">
        <v>18326</v>
      </c>
      <c r="G5" s="20">
        <v>14040</v>
      </c>
      <c r="H5" s="20">
        <v>16234</v>
      </c>
      <c r="I5" s="20">
        <v>7175</v>
      </c>
      <c r="J5" s="20">
        <v>1609</v>
      </c>
      <c r="K5" s="20">
        <v>4748</v>
      </c>
      <c r="L5" s="20">
        <v>15722</v>
      </c>
      <c r="M5" s="20">
        <v>19909</v>
      </c>
      <c r="N5" s="20">
        <v>17786</v>
      </c>
      <c r="O5" s="20">
        <v>137242</v>
      </c>
      <c r="P5" s="20">
        <v>14555</v>
      </c>
      <c r="Q5" s="20">
        <v>17834</v>
      </c>
      <c r="R5" s="20">
        <v>39062</v>
      </c>
      <c r="S5" s="20">
        <v>97401</v>
      </c>
      <c r="T5" s="20">
        <v>183830</v>
      </c>
      <c r="U5" s="20">
        <v>280482</v>
      </c>
      <c r="V5" s="20">
        <v>387184</v>
      </c>
      <c r="W5" s="20">
        <v>422500</v>
      </c>
      <c r="X5" s="20">
        <v>424198</v>
      </c>
      <c r="Y5" s="20">
        <v>447074</v>
      </c>
      <c r="Z5" s="20">
        <v>429979</v>
      </c>
      <c r="AA5" s="20">
        <v>551927</v>
      </c>
      <c r="AB5" s="20">
        <v>3296026</v>
      </c>
      <c r="AC5" s="20">
        <v>484497</v>
      </c>
      <c r="AD5" s="20">
        <v>487449</v>
      </c>
      <c r="AE5" s="20">
        <v>554665</v>
      </c>
      <c r="AF5" s="20">
        <v>560434</v>
      </c>
      <c r="AG5" s="20">
        <v>659065</v>
      </c>
      <c r="AH5" s="20">
        <v>707476</v>
      </c>
      <c r="AI5" s="20">
        <v>819496</v>
      </c>
      <c r="AJ5" s="20">
        <v>826446</v>
      </c>
      <c r="AK5" s="20">
        <v>777537</v>
      </c>
      <c r="AL5" s="20">
        <v>707584</v>
      </c>
      <c r="AM5" s="20">
        <v>656709</v>
      </c>
      <c r="AN5" s="20">
        <v>731293</v>
      </c>
      <c r="AO5" s="20">
        <v>7972651</v>
      </c>
      <c r="AP5" s="20">
        <v>631961</v>
      </c>
      <c r="AQ5" s="20">
        <v>735072</v>
      </c>
      <c r="AR5" s="20">
        <v>682439</v>
      </c>
      <c r="AS5" s="20">
        <v>750085</v>
      </c>
      <c r="AT5" s="20">
        <v>835722</v>
      </c>
      <c r="AU5" s="20">
        <v>821654</v>
      </c>
      <c r="AV5" s="20">
        <v>994583</v>
      </c>
      <c r="AW5" s="20">
        <v>987547</v>
      </c>
      <c r="AX5" s="20">
        <v>941903</v>
      </c>
      <c r="AY5" s="20">
        <v>859747</v>
      </c>
      <c r="AZ5" s="20">
        <v>756972</v>
      </c>
      <c r="BA5" s="20">
        <v>832865</v>
      </c>
      <c r="BB5" s="20">
        <v>9830550</v>
      </c>
      <c r="BC5" s="20">
        <v>801614</v>
      </c>
      <c r="BD5" s="20">
        <v>718609</v>
      </c>
      <c r="BE5" s="20">
        <v>669479</v>
      </c>
      <c r="BF5" s="20">
        <v>854756</v>
      </c>
      <c r="BG5" s="20">
        <v>941092</v>
      </c>
      <c r="BH5" s="20">
        <v>978929</v>
      </c>
      <c r="BI5" s="20">
        <v>1101619</v>
      </c>
      <c r="BJ5" s="20">
        <v>1108133</v>
      </c>
      <c r="BK5" s="20">
        <v>996518</v>
      </c>
      <c r="BL5" s="20">
        <v>954216</v>
      </c>
      <c r="BM5" s="20">
        <v>805662</v>
      </c>
      <c r="BN5" s="20">
        <v>888664</v>
      </c>
      <c r="BO5" s="20">
        <v>10819291</v>
      </c>
      <c r="BP5" s="20"/>
    </row>
    <row r="6" spans="1:68" x14ac:dyDescent="0.2">
      <c r="A6" s="3">
        <v>1</v>
      </c>
      <c r="B6" t="s">
        <v>15</v>
      </c>
      <c r="C6" s="8">
        <v>2</v>
      </c>
      <c r="D6" s="8">
        <v>12</v>
      </c>
      <c r="E6" s="8">
        <v>3</v>
      </c>
      <c r="F6" s="8">
        <v>9</v>
      </c>
      <c r="G6" s="8">
        <v>8</v>
      </c>
      <c r="H6" s="8">
        <v>1</v>
      </c>
      <c r="I6" s="8">
        <v>0</v>
      </c>
      <c r="J6" s="8">
        <v>0</v>
      </c>
      <c r="K6" s="8">
        <v>0</v>
      </c>
      <c r="L6" s="8">
        <v>2</v>
      </c>
      <c r="M6" s="8">
        <v>6</v>
      </c>
      <c r="N6" s="8">
        <v>0</v>
      </c>
      <c r="O6" s="20">
        <v>43</v>
      </c>
      <c r="P6" s="8">
        <v>0</v>
      </c>
      <c r="Q6" s="8">
        <v>1293</v>
      </c>
      <c r="R6" s="8">
        <v>14617</v>
      </c>
      <c r="S6" s="8">
        <v>58315</v>
      </c>
      <c r="T6" s="8">
        <v>115553</v>
      </c>
      <c r="U6" s="8">
        <v>181545</v>
      </c>
      <c r="V6" s="8">
        <v>246442</v>
      </c>
      <c r="W6" s="8">
        <v>276627</v>
      </c>
      <c r="X6" s="8">
        <v>291115</v>
      </c>
      <c r="Y6" s="8">
        <v>305152</v>
      </c>
      <c r="Z6" s="8">
        <v>287025</v>
      </c>
      <c r="AA6" s="8">
        <v>376361</v>
      </c>
      <c r="AB6" s="20">
        <v>2154045</v>
      </c>
      <c r="AC6" s="8">
        <v>329909</v>
      </c>
      <c r="AD6" s="8">
        <v>317005</v>
      </c>
      <c r="AE6" s="8">
        <v>366956</v>
      </c>
      <c r="AF6" s="8">
        <v>410281</v>
      </c>
      <c r="AG6" s="8">
        <v>439454</v>
      </c>
      <c r="AH6" s="8">
        <v>478127</v>
      </c>
      <c r="AI6" s="8">
        <v>541272</v>
      </c>
      <c r="AJ6" s="8">
        <v>522063</v>
      </c>
      <c r="AK6" s="8">
        <v>508297</v>
      </c>
      <c r="AL6" s="8">
        <v>458845</v>
      </c>
      <c r="AM6" s="8">
        <v>397522</v>
      </c>
      <c r="AN6" s="8">
        <v>478382</v>
      </c>
      <c r="AO6" s="20">
        <v>5248113</v>
      </c>
      <c r="AP6" s="8">
        <v>414937</v>
      </c>
      <c r="AQ6" s="8">
        <v>454398</v>
      </c>
      <c r="AR6" s="8">
        <v>463804</v>
      </c>
      <c r="AS6" s="8">
        <v>502870</v>
      </c>
      <c r="AT6" s="8">
        <v>544492</v>
      </c>
      <c r="AU6" s="8">
        <v>520792</v>
      </c>
      <c r="AV6" s="8">
        <v>625569</v>
      </c>
      <c r="AW6" s="8">
        <v>613540</v>
      </c>
      <c r="AX6" s="8">
        <v>591848</v>
      </c>
      <c r="AY6" s="8">
        <v>554892</v>
      </c>
      <c r="AZ6" s="8">
        <v>472714</v>
      </c>
      <c r="BA6" s="8">
        <v>548685</v>
      </c>
      <c r="BB6" s="20">
        <v>6308541</v>
      </c>
      <c r="BC6" s="8">
        <v>526831</v>
      </c>
      <c r="BD6" s="8">
        <v>444411</v>
      </c>
      <c r="BE6" s="8">
        <v>464697</v>
      </c>
      <c r="BF6" s="8">
        <v>587315</v>
      </c>
      <c r="BG6" s="8">
        <v>602055</v>
      </c>
      <c r="BH6" s="8">
        <v>637744</v>
      </c>
      <c r="BI6" s="8">
        <v>697068</v>
      </c>
      <c r="BJ6" s="8">
        <v>682839</v>
      </c>
      <c r="BK6" s="8">
        <v>634482</v>
      </c>
      <c r="BL6" s="8">
        <v>594846</v>
      </c>
      <c r="BM6" s="8">
        <v>476507</v>
      </c>
      <c r="BN6" s="8">
        <v>558790</v>
      </c>
      <c r="BO6" s="20">
        <v>6907585</v>
      </c>
      <c r="BP6" s="20">
        <f>SUM($BO6,$BB6,$AO6,$AB6,$O6)</f>
        <v>20618327</v>
      </c>
    </row>
    <row r="7" spans="1:68" x14ac:dyDescent="0.2">
      <c r="A7" s="3">
        <v>2</v>
      </c>
      <c r="B7" t="s">
        <v>16</v>
      </c>
      <c r="C7" s="8">
        <v>1238</v>
      </c>
      <c r="D7" s="8">
        <v>5958</v>
      </c>
      <c r="E7" s="8">
        <v>10188</v>
      </c>
      <c r="F7" s="8">
        <v>15471</v>
      </c>
      <c r="G7" s="8">
        <v>12775</v>
      </c>
      <c r="H7" s="8">
        <v>13448</v>
      </c>
      <c r="I7" s="8">
        <v>5466</v>
      </c>
      <c r="J7" s="8">
        <v>1071</v>
      </c>
      <c r="K7" s="8">
        <v>4081</v>
      </c>
      <c r="L7" s="8">
        <v>13700</v>
      </c>
      <c r="M7" s="8">
        <v>18971</v>
      </c>
      <c r="N7" s="8">
        <v>16696</v>
      </c>
      <c r="O7" s="20">
        <v>119063</v>
      </c>
      <c r="P7" s="8">
        <v>14073</v>
      </c>
      <c r="Q7" s="8">
        <v>15406</v>
      </c>
      <c r="R7" s="8">
        <v>23320</v>
      </c>
      <c r="S7" s="8">
        <v>36061</v>
      </c>
      <c r="T7" s="8">
        <v>57844</v>
      </c>
      <c r="U7" s="8">
        <v>85587</v>
      </c>
      <c r="V7" s="8">
        <v>119179</v>
      </c>
      <c r="W7" s="8">
        <v>121427</v>
      </c>
      <c r="X7" s="8">
        <v>111033</v>
      </c>
      <c r="Y7" s="8">
        <v>112527</v>
      </c>
      <c r="Z7" s="8">
        <v>113729</v>
      </c>
      <c r="AA7" s="8">
        <v>124475</v>
      </c>
      <c r="AB7" s="20">
        <v>934661</v>
      </c>
      <c r="AC7" s="8">
        <v>115101</v>
      </c>
      <c r="AD7" s="8">
        <v>124803</v>
      </c>
      <c r="AE7" s="8">
        <v>140859</v>
      </c>
      <c r="AF7" s="8">
        <v>99289</v>
      </c>
      <c r="AG7" s="8">
        <v>158550</v>
      </c>
      <c r="AH7" s="8">
        <v>161114</v>
      </c>
      <c r="AI7" s="8">
        <v>204000</v>
      </c>
      <c r="AJ7" s="8">
        <v>218512</v>
      </c>
      <c r="AK7" s="8">
        <v>190058</v>
      </c>
      <c r="AL7" s="8">
        <v>181627</v>
      </c>
      <c r="AM7" s="8">
        <v>186695</v>
      </c>
      <c r="AN7" s="8">
        <v>172397</v>
      </c>
      <c r="AO7" s="20">
        <v>1953005</v>
      </c>
      <c r="AP7" s="8">
        <v>157979</v>
      </c>
      <c r="AQ7" s="8">
        <v>187641</v>
      </c>
      <c r="AR7" s="8">
        <v>160917</v>
      </c>
      <c r="AS7" s="8">
        <v>157409</v>
      </c>
      <c r="AT7" s="8">
        <v>201574</v>
      </c>
      <c r="AU7" s="8">
        <v>225985</v>
      </c>
      <c r="AV7" s="8">
        <v>271680</v>
      </c>
      <c r="AW7" s="8">
        <v>272849</v>
      </c>
      <c r="AX7" s="8">
        <v>250852</v>
      </c>
      <c r="AY7" s="8">
        <v>218170</v>
      </c>
      <c r="AZ7" s="8">
        <v>212178</v>
      </c>
      <c r="BA7" s="8">
        <v>207019</v>
      </c>
      <c r="BB7" s="20">
        <v>2524253</v>
      </c>
      <c r="BC7" s="8">
        <v>193433</v>
      </c>
      <c r="BD7" s="8">
        <v>199306</v>
      </c>
      <c r="BE7" s="8">
        <v>146390</v>
      </c>
      <c r="BF7" s="8">
        <v>186523</v>
      </c>
      <c r="BG7" s="8">
        <v>233751</v>
      </c>
      <c r="BH7" s="8">
        <v>236013</v>
      </c>
      <c r="BI7" s="8">
        <v>290369</v>
      </c>
      <c r="BJ7" s="8">
        <v>304970</v>
      </c>
      <c r="BK7" s="8">
        <v>244404</v>
      </c>
      <c r="BL7" s="8">
        <v>254968</v>
      </c>
      <c r="BM7" s="8">
        <v>240330</v>
      </c>
      <c r="BN7" s="8">
        <v>230381</v>
      </c>
      <c r="BO7" s="20">
        <v>2760838</v>
      </c>
      <c r="BP7" s="20">
        <f t="shared" ref="BP7:BP36" si="0">SUM($BO7,$BB7,$AO7,$AB7,$O7)</f>
        <v>8291820</v>
      </c>
    </row>
    <row r="8" spans="1:68" x14ac:dyDescent="0.2">
      <c r="A8" s="3">
        <v>3</v>
      </c>
      <c r="B8" t="s">
        <v>17</v>
      </c>
      <c r="C8" s="8">
        <v>20</v>
      </c>
      <c r="D8" s="8">
        <v>69</v>
      </c>
      <c r="E8" s="8">
        <v>52</v>
      </c>
      <c r="F8" s="8">
        <v>106</v>
      </c>
      <c r="G8" s="8">
        <v>160</v>
      </c>
      <c r="H8" s="8">
        <v>181</v>
      </c>
      <c r="I8" s="8">
        <v>52</v>
      </c>
      <c r="J8" s="8">
        <v>10</v>
      </c>
      <c r="K8" s="8">
        <v>2</v>
      </c>
      <c r="L8" s="8">
        <v>37</v>
      </c>
      <c r="M8" s="8">
        <v>0</v>
      </c>
      <c r="N8" s="8">
        <v>0</v>
      </c>
      <c r="O8" s="20">
        <v>689</v>
      </c>
      <c r="P8" s="8">
        <v>0</v>
      </c>
      <c r="Q8" s="8">
        <v>0</v>
      </c>
      <c r="R8" s="8">
        <v>57</v>
      </c>
      <c r="S8" s="8">
        <v>1468</v>
      </c>
      <c r="T8" s="8">
        <v>4598</v>
      </c>
      <c r="U8" s="8">
        <v>4722</v>
      </c>
      <c r="V8" s="8">
        <v>6087</v>
      </c>
      <c r="W8" s="8">
        <v>8386</v>
      </c>
      <c r="X8" s="8">
        <v>9152</v>
      </c>
      <c r="Y8" s="8">
        <v>9415</v>
      </c>
      <c r="Z8" s="8">
        <v>9644</v>
      </c>
      <c r="AA8" s="8">
        <v>14264</v>
      </c>
      <c r="AB8" s="20">
        <v>67793</v>
      </c>
      <c r="AC8" s="8">
        <v>10777</v>
      </c>
      <c r="AD8" s="8">
        <v>11882</v>
      </c>
      <c r="AE8" s="8">
        <v>10606</v>
      </c>
      <c r="AF8" s="8">
        <v>12361</v>
      </c>
      <c r="AG8" s="8">
        <v>15734</v>
      </c>
      <c r="AH8" s="8">
        <v>18025</v>
      </c>
      <c r="AI8" s="8">
        <v>20303</v>
      </c>
      <c r="AJ8" s="8">
        <v>25548</v>
      </c>
      <c r="AK8" s="8">
        <v>25593</v>
      </c>
      <c r="AL8" s="8">
        <v>21996</v>
      </c>
      <c r="AM8" s="8">
        <v>22389</v>
      </c>
      <c r="AN8" s="8">
        <v>23244</v>
      </c>
      <c r="AO8" s="20">
        <v>218458</v>
      </c>
      <c r="AP8" s="8">
        <v>17196</v>
      </c>
      <c r="AQ8" s="8">
        <v>28026</v>
      </c>
      <c r="AR8" s="8">
        <v>18543</v>
      </c>
      <c r="AS8" s="8">
        <v>29043</v>
      </c>
      <c r="AT8" s="8">
        <v>31222</v>
      </c>
      <c r="AU8" s="8">
        <v>25015</v>
      </c>
      <c r="AV8" s="8">
        <v>34446</v>
      </c>
      <c r="AW8" s="8">
        <v>38587</v>
      </c>
      <c r="AX8" s="8">
        <v>31700</v>
      </c>
      <c r="AY8" s="8">
        <v>28182</v>
      </c>
      <c r="AZ8" s="8">
        <v>20820</v>
      </c>
      <c r="BA8" s="8">
        <v>19265</v>
      </c>
      <c r="BB8" s="20">
        <v>322045</v>
      </c>
      <c r="BC8" s="8">
        <v>22119</v>
      </c>
      <c r="BD8" s="8">
        <v>19205</v>
      </c>
      <c r="BE8" s="8">
        <v>15647</v>
      </c>
      <c r="BF8" s="8">
        <v>24800</v>
      </c>
      <c r="BG8" s="8">
        <v>33409</v>
      </c>
      <c r="BH8" s="8">
        <v>34092</v>
      </c>
      <c r="BI8" s="8">
        <v>34421</v>
      </c>
      <c r="BJ8" s="8">
        <v>37406</v>
      </c>
      <c r="BK8" s="8">
        <v>32664</v>
      </c>
      <c r="BL8" s="8">
        <v>29534</v>
      </c>
      <c r="BM8" s="8">
        <v>21629</v>
      </c>
      <c r="BN8" s="8">
        <v>25019</v>
      </c>
      <c r="BO8" s="20">
        <v>329945</v>
      </c>
      <c r="BP8" s="20">
        <f t="shared" si="0"/>
        <v>938930</v>
      </c>
    </row>
    <row r="9" spans="1:68" x14ac:dyDescent="0.2">
      <c r="A9" s="3">
        <v>4</v>
      </c>
      <c r="B9" t="s">
        <v>18</v>
      </c>
      <c r="C9" s="8">
        <v>11</v>
      </c>
      <c r="D9" s="8">
        <v>17</v>
      </c>
      <c r="E9" s="8">
        <v>45</v>
      </c>
      <c r="F9" s="8">
        <v>22</v>
      </c>
      <c r="G9" s="8">
        <v>50</v>
      </c>
      <c r="H9" s="8">
        <v>38</v>
      </c>
      <c r="I9" s="8">
        <v>28</v>
      </c>
      <c r="J9" s="8">
        <v>4</v>
      </c>
      <c r="K9" s="8">
        <v>3</v>
      </c>
      <c r="L9" s="8">
        <v>0</v>
      </c>
      <c r="M9" s="8">
        <v>0</v>
      </c>
      <c r="N9" s="8">
        <v>0</v>
      </c>
      <c r="O9" s="20">
        <v>218</v>
      </c>
      <c r="P9" s="8">
        <v>0</v>
      </c>
      <c r="Q9" s="8">
        <v>0</v>
      </c>
      <c r="R9" s="8">
        <v>11</v>
      </c>
      <c r="S9" s="8">
        <v>494</v>
      </c>
      <c r="T9" s="8">
        <v>3861</v>
      </c>
      <c r="U9" s="8">
        <v>5165</v>
      </c>
      <c r="V9" s="8">
        <v>7518</v>
      </c>
      <c r="W9" s="8">
        <v>10287</v>
      </c>
      <c r="X9" s="8">
        <v>5895</v>
      </c>
      <c r="Y9" s="8">
        <v>11454</v>
      </c>
      <c r="Z9" s="8">
        <v>10615</v>
      </c>
      <c r="AA9" s="8">
        <v>19198</v>
      </c>
      <c r="AB9" s="20">
        <v>74498</v>
      </c>
      <c r="AC9" s="8">
        <v>14146</v>
      </c>
      <c r="AD9" s="8">
        <v>15072</v>
      </c>
      <c r="AE9" s="8">
        <v>16106</v>
      </c>
      <c r="AF9" s="8">
        <v>15497</v>
      </c>
      <c r="AG9" s="8">
        <v>16262</v>
      </c>
      <c r="AH9" s="8">
        <v>16527</v>
      </c>
      <c r="AI9" s="8">
        <v>17478</v>
      </c>
      <c r="AJ9" s="8">
        <v>20843</v>
      </c>
      <c r="AK9" s="8">
        <v>15783</v>
      </c>
      <c r="AL9" s="8">
        <v>14161</v>
      </c>
      <c r="AM9" s="8">
        <v>16363</v>
      </c>
      <c r="AN9" s="8">
        <v>18237</v>
      </c>
      <c r="AO9" s="20">
        <v>196475</v>
      </c>
      <c r="AP9" s="8">
        <v>14751</v>
      </c>
      <c r="AQ9" s="8">
        <v>24628</v>
      </c>
      <c r="AR9" s="8">
        <v>15068</v>
      </c>
      <c r="AS9" s="8">
        <v>25178</v>
      </c>
      <c r="AT9" s="8">
        <v>20469</v>
      </c>
      <c r="AU9" s="8">
        <v>16949</v>
      </c>
      <c r="AV9" s="8">
        <v>22693</v>
      </c>
      <c r="AW9" s="8">
        <v>21930</v>
      </c>
      <c r="AX9" s="8">
        <v>24956</v>
      </c>
      <c r="AY9" s="8">
        <v>20129</v>
      </c>
      <c r="AZ9" s="8">
        <v>19145</v>
      </c>
      <c r="BA9" s="8">
        <v>21142</v>
      </c>
      <c r="BB9" s="20">
        <v>247038</v>
      </c>
      <c r="BC9" s="8">
        <v>23011</v>
      </c>
      <c r="BD9" s="8">
        <v>22546</v>
      </c>
      <c r="BE9" s="8">
        <v>16881</v>
      </c>
      <c r="BF9" s="8">
        <v>19709</v>
      </c>
      <c r="BG9" s="8">
        <v>26183</v>
      </c>
      <c r="BH9" s="8">
        <v>25183</v>
      </c>
      <c r="BI9" s="8">
        <v>28306</v>
      </c>
      <c r="BJ9" s="8">
        <v>29858</v>
      </c>
      <c r="BK9" s="8">
        <v>29107</v>
      </c>
      <c r="BL9" s="8">
        <v>24621</v>
      </c>
      <c r="BM9" s="8">
        <v>20826</v>
      </c>
      <c r="BN9" s="8">
        <v>23425</v>
      </c>
      <c r="BO9" s="20">
        <v>289656</v>
      </c>
      <c r="BP9" s="20">
        <f t="shared" si="0"/>
        <v>807885</v>
      </c>
    </row>
    <row r="10" spans="1:68" x14ac:dyDescent="0.2">
      <c r="A10" s="3">
        <v>5</v>
      </c>
      <c r="B10" t="s">
        <v>19</v>
      </c>
      <c r="C10" s="8">
        <v>0</v>
      </c>
      <c r="D10" s="8">
        <v>0</v>
      </c>
      <c r="E10" s="8">
        <v>0</v>
      </c>
      <c r="F10" s="8">
        <v>0</v>
      </c>
      <c r="G10" s="8">
        <v>1</v>
      </c>
      <c r="H10" s="8">
        <v>0</v>
      </c>
      <c r="I10" s="8">
        <v>0</v>
      </c>
      <c r="J10" s="8">
        <v>0</v>
      </c>
      <c r="K10" s="8">
        <v>0</v>
      </c>
      <c r="L10" s="8">
        <v>0</v>
      </c>
      <c r="M10" s="8">
        <v>6</v>
      </c>
      <c r="N10" s="8">
        <v>0</v>
      </c>
      <c r="O10" s="20">
        <v>7</v>
      </c>
      <c r="P10" s="8">
        <v>0</v>
      </c>
      <c r="Q10" s="8">
        <v>0</v>
      </c>
      <c r="R10" s="8">
        <v>0</v>
      </c>
      <c r="S10" s="8">
        <v>0</v>
      </c>
      <c r="T10" s="8">
        <v>0</v>
      </c>
      <c r="U10" s="8">
        <v>49</v>
      </c>
      <c r="V10" s="8">
        <v>21</v>
      </c>
      <c r="W10" s="8">
        <v>15</v>
      </c>
      <c r="X10" s="8">
        <v>0</v>
      </c>
      <c r="Y10" s="8">
        <v>0</v>
      </c>
      <c r="Z10" s="8">
        <v>0</v>
      </c>
      <c r="AA10" s="8">
        <v>0</v>
      </c>
      <c r="AB10" s="20">
        <v>85</v>
      </c>
      <c r="AC10" s="8">
        <v>0</v>
      </c>
      <c r="AD10" s="8">
        <v>0</v>
      </c>
      <c r="AE10" s="8">
        <v>0</v>
      </c>
      <c r="AF10" s="8">
        <v>0</v>
      </c>
      <c r="AG10" s="8">
        <v>17</v>
      </c>
      <c r="AH10" s="8">
        <v>24</v>
      </c>
      <c r="AI10" s="8">
        <v>3</v>
      </c>
      <c r="AJ10" s="8">
        <v>0</v>
      </c>
      <c r="AK10" s="8">
        <v>0</v>
      </c>
      <c r="AL10" s="8">
        <v>0</v>
      </c>
      <c r="AM10" s="8">
        <v>0</v>
      </c>
      <c r="AN10" s="8">
        <v>0</v>
      </c>
      <c r="AO10" s="20">
        <v>44</v>
      </c>
      <c r="AP10" s="8">
        <v>0</v>
      </c>
      <c r="AQ10" s="8">
        <v>0</v>
      </c>
      <c r="AR10" s="8">
        <v>0</v>
      </c>
      <c r="AS10" s="8">
        <v>0</v>
      </c>
      <c r="AT10" s="8">
        <v>0</v>
      </c>
      <c r="AU10" s="8">
        <v>0</v>
      </c>
      <c r="AV10" s="8">
        <v>22</v>
      </c>
      <c r="AW10" s="8">
        <v>0</v>
      </c>
      <c r="AX10" s="8">
        <v>0</v>
      </c>
      <c r="AY10" s="8">
        <v>0</v>
      </c>
      <c r="AZ10" s="8">
        <v>0</v>
      </c>
      <c r="BA10" s="8">
        <v>0</v>
      </c>
      <c r="BB10" s="20">
        <v>22</v>
      </c>
      <c r="BC10" s="8">
        <v>0</v>
      </c>
      <c r="BD10" s="8">
        <v>0</v>
      </c>
      <c r="BE10" s="8">
        <v>0</v>
      </c>
      <c r="BF10" s="8">
        <v>0</v>
      </c>
      <c r="BG10" s="8">
        <v>0</v>
      </c>
      <c r="BH10" s="8">
        <v>0</v>
      </c>
      <c r="BI10" s="8">
        <v>0</v>
      </c>
      <c r="BJ10" s="8">
        <v>0</v>
      </c>
      <c r="BK10" s="8">
        <v>0</v>
      </c>
      <c r="BL10" s="8">
        <v>0</v>
      </c>
      <c r="BM10" s="8">
        <v>0</v>
      </c>
      <c r="BN10" s="8">
        <v>0</v>
      </c>
      <c r="BO10" s="20">
        <v>0</v>
      </c>
      <c r="BP10" s="20">
        <f t="shared" si="0"/>
        <v>158</v>
      </c>
    </row>
    <row r="11" spans="1:68" x14ac:dyDescent="0.2">
      <c r="A11" s="3">
        <v>6</v>
      </c>
      <c r="B11" t="s">
        <v>20</v>
      </c>
      <c r="C11" s="8">
        <v>0</v>
      </c>
      <c r="D11" s="8">
        <v>0</v>
      </c>
      <c r="E11" s="8">
        <v>0</v>
      </c>
      <c r="F11" s="8">
        <v>0</v>
      </c>
      <c r="G11" s="8">
        <v>0</v>
      </c>
      <c r="H11" s="8">
        <v>0</v>
      </c>
      <c r="I11" s="8">
        <v>0</v>
      </c>
      <c r="J11" s="8">
        <v>0</v>
      </c>
      <c r="K11" s="8">
        <v>0</v>
      </c>
      <c r="L11" s="8">
        <v>0</v>
      </c>
      <c r="M11" s="8">
        <v>0</v>
      </c>
      <c r="N11" s="8">
        <v>0</v>
      </c>
      <c r="O11" s="20">
        <v>0</v>
      </c>
      <c r="P11" s="8">
        <v>0</v>
      </c>
      <c r="Q11" s="8">
        <v>0</v>
      </c>
      <c r="R11" s="8">
        <v>0</v>
      </c>
      <c r="S11" s="8">
        <v>35</v>
      </c>
      <c r="T11" s="8">
        <v>260</v>
      </c>
      <c r="U11" s="8">
        <v>369</v>
      </c>
      <c r="V11" s="8">
        <v>809</v>
      </c>
      <c r="W11" s="8">
        <v>640</v>
      </c>
      <c r="X11" s="8">
        <v>974</v>
      </c>
      <c r="Y11" s="8">
        <v>1933</v>
      </c>
      <c r="Z11" s="8">
        <v>1947</v>
      </c>
      <c r="AA11" s="8">
        <v>5169</v>
      </c>
      <c r="AB11" s="20">
        <v>12136</v>
      </c>
      <c r="AC11" s="8">
        <v>3878</v>
      </c>
      <c r="AD11" s="8">
        <v>4839</v>
      </c>
      <c r="AE11" s="8">
        <v>5007</v>
      </c>
      <c r="AF11" s="8">
        <v>5592</v>
      </c>
      <c r="AG11" s="8">
        <v>8160</v>
      </c>
      <c r="AH11" s="8">
        <v>11188</v>
      </c>
      <c r="AI11" s="8">
        <v>12444</v>
      </c>
      <c r="AJ11" s="8">
        <v>12974</v>
      </c>
      <c r="AK11" s="8">
        <v>11855</v>
      </c>
      <c r="AL11" s="8">
        <v>8536</v>
      </c>
      <c r="AM11" s="8">
        <v>9675</v>
      </c>
      <c r="AN11" s="8">
        <v>11338</v>
      </c>
      <c r="AO11" s="20">
        <v>105486</v>
      </c>
      <c r="AP11" s="8">
        <v>6879</v>
      </c>
      <c r="AQ11" s="8">
        <v>9813</v>
      </c>
      <c r="AR11" s="8">
        <v>6258</v>
      </c>
      <c r="AS11" s="8">
        <v>8790</v>
      </c>
      <c r="AT11" s="8">
        <v>11323</v>
      </c>
      <c r="AU11" s="8">
        <v>8134</v>
      </c>
      <c r="AV11" s="8">
        <v>11120</v>
      </c>
      <c r="AW11" s="8">
        <v>10136</v>
      </c>
      <c r="AX11" s="8">
        <v>9621</v>
      </c>
      <c r="AY11" s="8">
        <v>7828</v>
      </c>
      <c r="AZ11" s="8">
        <v>6728</v>
      </c>
      <c r="BA11" s="8">
        <v>7167</v>
      </c>
      <c r="BB11" s="20">
        <v>103797</v>
      </c>
      <c r="BC11" s="8">
        <v>6717</v>
      </c>
      <c r="BD11" s="8">
        <v>6087</v>
      </c>
      <c r="BE11" s="8">
        <v>3185</v>
      </c>
      <c r="BF11" s="8">
        <v>7135</v>
      </c>
      <c r="BG11" s="8">
        <v>9699</v>
      </c>
      <c r="BH11" s="8">
        <v>10424</v>
      </c>
      <c r="BI11" s="8">
        <v>11322</v>
      </c>
      <c r="BJ11" s="8">
        <v>12554</v>
      </c>
      <c r="BK11" s="8">
        <v>10960</v>
      </c>
      <c r="BL11" s="8">
        <v>8712</v>
      </c>
      <c r="BM11" s="8">
        <v>8005</v>
      </c>
      <c r="BN11" s="8">
        <v>8017</v>
      </c>
      <c r="BO11" s="20">
        <v>102817</v>
      </c>
      <c r="BP11" s="20">
        <f t="shared" si="0"/>
        <v>324236</v>
      </c>
    </row>
    <row r="12" spans="1:68" x14ac:dyDescent="0.2">
      <c r="A12" s="3">
        <v>7</v>
      </c>
      <c r="B12" t="s">
        <v>21</v>
      </c>
      <c r="C12" s="8">
        <v>1</v>
      </c>
      <c r="D12" s="8">
        <v>0</v>
      </c>
      <c r="E12" s="8">
        <v>2</v>
      </c>
      <c r="F12" s="8">
        <v>0</v>
      </c>
      <c r="G12" s="8">
        <v>0</v>
      </c>
      <c r="H12" s="8">
        <v>0</v>
      </c>
      <c r="I12" s="8">
        <v>0</v>
      </c>
      <c r="J12" s="8">
        <v>26</v>
      </c>
      <c r="K12" s="8">
        <v>0</v>
      </c>
      <c r="L12" s="8">
        <v>0</v>
      </c>
      <c r="M12" s="8">
        <v>0</v>
      </c>
      <c r="N12" s="8">
        <v>0</v>
      </c>
      <c r="O12" s="20">
        <v>29</v>
      </c>
      <c r="P12" s="8">
        <v>0</v>
      </c>
      <c r="Q12" s="8">
        <v>488</v>
      </c>
      <c r="R12" s="8">
        <v>12</v>
      </c>
      <c r="S12" s="8">
        <v>0</v>
      </c>
      <c r="T12" s="8">
        <v>487</v>
      </c>
      <c r="U12" s="8">
        <v>1011</v>
      </c>
      <c r="V12" s="8">
        <v>1658</v>
      </c>
      <c r="W12" s="8">
        <v>2054</v>
      </c>
      <c r="X12" s="8">
        <v>2251</v>
      </c>
      <c r="Y12" s="8">
        <v>2226</v>
      </c>
      <c r="Z12" s="8">
        <v>1921</v>
      </c>
      <c r="AA12" s="8">
        <v>2914</v>
      </c>
      <c r="AB12" s="20">
        <v>15022</v>
      </c>
      <c r="AC12" s="8">
        <v>2202</v>
      </c>
      <c r="AD12" s="8">
        <v>2355</v>
      </c>
      <c r="AE12" s="8">
        <v>2099</v>
      </c>
      <c r="AF12" s="8">
        <v>2903</v>
      </c>
      <c r="AG12" s="8">
        <v>4848</v>
      </c>
      <c r="AH12" s="8">
        <v>5721</v>
      </c>
      <c r="AI12" s="8">
        <v>6433</v>
      </c>
      <c r="AJ12" s="8">
        <v>6245</v>
      </c>
      <c r="AK12" s="8">
        <v>6294</v>
      </c>
      <c r="AL12" s="8">
        <v>5904</v>
      </c>
      <c r="AM12" s="8">
        <v>5278</v>
      </c>
      <c r="AN12" s="8">
        <v>7304</v>
      </c>
      <c r="AO12" s="20">
        <v>57586</v>
      </c>
      <c r="AP12" s="8">
        <v>4958</v>
      </c>
      <c r="AQ12" s="8">
        <v>7748</v>
      </c>
      <c r="AR12" s="8">
        <v>5208</v>
      </c>
      <c r="AS12" s="8">
        <v>6536</v>
      </c>
      <c r="AT12" s="8">
        <v>7742</v>
      </c>
      <c r="AU12" s="8">
        <v>6893</v>
      </c>
      <c r="AV12" s="8">
        <v>8652</v>
      </c>
      <c r="AW12" s="8">
        <v>8122</v>
      </c>
      <c r="AX12" s="8">
        <v>7461</v>
      </c>
      <c r="AY12" s="8">
        <v>7169</v>
      </c>
      <c r="AZ12" s="8">
        <v>4947</v>
      </c>
      <c r="BA12" s="8">
        <v>6108</v>
      </c>
      <c r="BB12" s="20">
        <v>81544</v>
      </c>
      <c r="BC12" s="8">
        <v>6295</v>
      </c>
      <c r="BD12" s="8">
        <v>4926</v>
      </c>
      <c r="BE12" s="8">
        <v>5441</v>
      </c>
      <c r="BF12" s="8">
        <v>7812</v>
      </c>
      <c r="BG12" s="8">
        <v>8641</v>
      </c>
      <c r="BH12" s="8">
        <v>7784</v>
      </c>
      <c r="BI12" s="8">
        <v>10512</v>
      </c>
      <c r="BJ12" s="8">
        <v>10207</v>
      </c>
      <c r="BK12" s="8">
        <v>9333</v>
      </c>
      <c r="BL12" s="8">
        <v>9321</v>
      </c>
      <c r="BM12" s="8">
        <v>6689</v>
      </c>
      <c r="BN12" s="8">
        <v>7714</v>
      </c>
      <c r="BO12" s="20">
        <v>94675</v>
      </c>
      <c r="BP12" s="20">
        <f t="shared" si="0"/>
        <v>248856</v>
      </c>
    </row>
    <row r="13" spans="1:68" x14ac:dyDescent="0.2">
      <c r="A13" s="3">
        <v>8</v>
      </c>
      <c r="B13" t="s">
        <v>22</v>
      </c>
      <c r="C13" s="8">
        <v>433</v>
      </c>
      <c r="D13" s="8">
        <v>1027</v>
      </c>
      <c r="E13" s="8">
        <v>2513</v>
      </c>
      <c r="F13" s="8">
        <v>2685</v>
      </c>
      <c r="G13" s="8">
        <v>1015</v>
      </c>
      <c r="H13" s="8">
        <v>2435</v>
      </c>
      <c r="I13" s="8">
        <v>695</v>
      </c>
      <c r="J13" s="8">
        <v>5</v>
      </c>
      <c r="K13" s="8">
        <v>593</v>
      </c>
      <c r="L13" s="8">
        <v>1952</v>
      </c>
      <c r="M13" s="8">
        <v>851</v>
      </c>
      <c r="N13" s="8">
        <v>1035</v>
      </c>
      <c r="O13" s="20">
        <v>15239</v>
      </c>
      <c r="P13" s="8">
        <v>466</v>
      </c>
      <c r="Q13" s="8">
        <v>647</v>
      </c>
      <c r="R13" s="8">
        <v>1045</v>
      </c>
      <c r="S13" s="8">
        <v>851</v>
      </c>
      <c r="T13" s="8">
        <v>843</v>
      </c>
      <c r="U13" s="8">
        <v>1472</v>
      </c>
      <c r="V13" s="8">
        <v>1684</v>
      </c>
      <c r="W13" s="8">
        <v>1758</v>
      </c>
      <c r="X13" s="8">
        <v>2178</v>
      </c>
      <c r="Y13" s="8">
        <v>1581</v>
      </c>
      <c r="Z13" s="8">
        <v>1721</v>
      </c>
      <c r="AA13" s="8">
        <v>1142</v>
      </c>
      <c r="AB13" s="20">
        <v>15388</v>
      </c>
      <c r="AC13" s="8">
        <v>803</v>
      </c>
      <c r="AD13" s="8">
        <v>1848</v>
      </c>
      <c r="AE13" s="8">
        <v>4793</v>
      </c>
      <c r="AF13" s="8">
        <v>4156</v>
      </c>
      <c r="AG13" s="8">
        <v>3798</v>
      </c>
      <c r="AH13" s="8">
        <v>3691</v>
      </c>
      <c r="AI13" s="8">
        <v>3782</v>
      </c>
      <c r="AJ13" s="8">
        <v>5397</v>
      </c>
      <c r="AK13" s="8">
        <v>5922</v>
      </c>
      <c r="AL13" s="8">
        <v>4645</v>
      </c>
      <c r="AM13" s="8">
        <v>4611</v>
      </c>
      <c r="AN13" s="8">
        <v>3917</v>
      </c>
      <c r="AO13" s="20">
        <v>47363</v>
      </c>
      <c r="AP13" s="8">
        <v>3384</v>
      </c>
      <c r="AQ13" s="8">
        <v>2615</v>
      </c>
      <c r="AR13" s="8">
        <v>4045</v>
      </c>
      <c r="AS13" s="8">
        <v>3451</v>
      </c>
      <c r="AT13" s="8">
        <v>3427</v>
      </c>
      <c r="AU13" s="8">
        <v>3424</v>
      </c>
      <c r="AV13" s="8">
        <v>4743</v>
      </c>
      <c r="AW13" s="8">
        <v>4436</v>
      </c>
      <c r="AX13" s="8">
        <v>4791</v>
      </c>
      <c r="AY13" s="8">
        <v>4674</v>
      </c>
      <c r="AZ13" s="8">
        <v>4532</v>
      </c>
      <c r="BA13" s="8">
        <v>4097</v>
      </c>
      <c r="BB13" s="20">
        <v>47619</v>
      </c>
      <c r="BC13" s="8">
        <v>3788</v>
      </c>
      <c r="BD13" s="8">
        <v>3497</v>
      </c>
      <c r="BE13" s="8">
        <v>4403</v>
      </c>
      <c r="BF13" s="8">
        <v>4070</v>
      </c>
      <c r="BG13" s="8">
        <v>3902</v>
      </c>
      <c r="BH13" s="8">
        <v>3742</v>
      </c>
      <c r="BI13" s="8">
        <v>5903</v>
      </c>
      <c r="BJ13" s="8">
        <v>5656</v>
      </c>
      <c r="BK13" s="8">
        <v>5600</v>
      </c>
      <c r="BL13" s="8">
        <v>6513</v>
      </c>
      <c r="BM13" s="8">
        <v>7401</v>
      </c>
      <c r="BN13" s="8">
        <v>7020</v>
      </c>
      <c r="BO13" s="20">
        <v>61495</v>
      </c>
      <c r="BP13" s="20">
        <f t="shared" si="0"/>
        <v>187104</v>
      </c>
    </row>
    <row r="14" spans="1:68" x14ac:dyDescent="0.2">
      <c r="A14" s="3">
        <v>9</v>
      </c>
      <c r="B14" t="s">
        <v>23</v>
      </c>
      <c r="C14" s="8">
        <v>0</v>
      </c>
      <c r="D14" s="8">
        <v>0</v>
      </c>
      <c r="E14" s="8">
        <v>0</v>
      </c>
      <c r="F14" s="8">
        <v>0</v>
      </c>
      <c r="G14" s="8">
        <v>0</v>
      </c>
      <c r="H14" s="8">
        <v>0</v>
      </c>
      <c r="I14" s="8">
        <v>0</v>
      </c>
      <c r="J14" s="8">
        <v>0</v>
      </c>
      <c r="K14" s="8">
        <v>0</v>
      </c>
      <c r="L14" s="8">
        <v>0</v>
      </c>
      <c r="M14" s="8">
        <v>0</v>
      </c>
      <c r="N14" s="8">
        <v>0</v>
      </c>
      <c r="O14" s="20">
        <v>0</v>
      </c>
      <c r="P14" s="8">
        <v>0</v>
      </c>
      <c r="Q14" s="8">
        <v>0</v>
      </c>
      <c r="R14" s="8">
        <v>0</v>
      </c>
      <c r="S14" s="8">
        <v>0</v>
      </c>
      <c r="T14" s="8">
        <v>0</v>
      </c>
      <c r="U14" s="8">
        <v>0</v>
      </c>
      <c r="V14" s="8">
        <v>0</v>
      </c>
      <c r="W14" s="8">
        <v>0</v>
      </c>
      <c r="X14" s="8">
        <v>0</v>
      </c>
      <c r="Y14" s="8">
        <v>371</v>
      </c>
      <c r="Z14" s="8">
        <v>709</v>
      </c>
      <c r="AA14" s="8">
        <v>3062</v>
      </c>
      <c r="AB14" s="20">
        <v>4142</v>
      </c>
      <c r="AC14" s="8">
        <v>2878</v>
      </c>
      <c r="AD14" s="8">
        <v>3590</v>
      </c>
      <c r="AE14" s="8">
        <v>2765</v>
      </c>
      <c r="AF14" s="8">
        <v>4100</v>
      </c>
      <c r="AG14" s="8">
        <v>4624</v>
      </c>
      <c r="AH14" s="8">
        <v>5226</v>
      </c>
      <c r="AI14" s="8">
        <v>4946</v>
      </c>
      <c r="AJ14" s="8">
        <v>5577</v>
      </c>
      <c r="AK14" s="8">
        <v>5453</v>
      </c>
      <c r="AL14" s="8">
        <v>4925</v>
      </c>
      <c r="AM14" s="8">
        <v>5898</v>
      </c>
      <c r="AN14" s="8">
        <v>6710</v>
      </c>
      <c r="AO14" s="20">
        <v>56692</v>
      </c>
      <c r="AP14" s="8">
        <v>4689</v>
      </c>
      <c r="AQ14" s="8">
        <v>8229</v>
      </c>
      <c r="AR14" s="8">
        <v>2976</v>
      </c>
      <c r="AS14" s="8">
        <v>7166</v>
      </c>
      <c r="AT14" s="8">
        <v>7107</v>
      </c>
      <c r="AU14" s="8">
        <v>4561</v>
      </c>
      <c r="AV14" s="8">
        <v>5936</v>
      </c>
      <c r="AW14" s="8">
        <v>6685</v>
      </c>
      <c r="AX14" s="8">
        <v>8232</v>
      </c>
      <c r="AY14" s="8">
        <v>7511</v>
      </c>
      <c r="AZ14" s="8">
        <v>6041</v>
      </c>
      <c r="BA14" s="8">
        <v>7550</v>
      </c>
      <c r="BB14" s="20">
        <v>76683</v>
      </c>
      <c r="BC14" s="8">
        <v>8490</v>
      </c>
      <c r="BD14" s="8">
        <v>7810</v>
      </c>
      <c r="BE14" s="8">
        <v>3649</v>
      </c>
      <c r="BF14" s="8">
        <v>6270</v>
      </c>
      <c r="BG14" s="8">
        <v>8312</v>
      </c>
      <c r="BH14" s="8">
        <v>8621</v>
      </c>
      <c r="BI14" s="8">
        <v>7674</v>
      </c>
      <c r="BJ14" s="8">
        <v>8216</v>
      </c>
      <c r="BK14" s="8">
        <v>9699</v>
      </c>
      <c r="BL14" s="8">
        <v>7588</v>
      </c>
      <c r="BM14" s="8">
        <v>6611</v>
      </c>
      <c r="BN14" s="8">
        <v>7081</v>
      </c>
      <c r="BO14" s="20">
        <v>90021</v>
      </c>
      <c r="BP14" s="20">
        <f t="shared" si="0"/>
        <v>227538</v>
      </c>
    </row>
    <row r="15" spans="1:68" x14ac:dyDescent="0.2">
      <c r="A15" s="3">
        <v>10</v>
      </c>
      <c r="B15" t="s">
        <v>24</v>
      </c>
      <c r="C15" s="8">
        <v>1</v>
      </c>
      <c r="D15" s="8">
        <v>3</v>
      </c>
      <c r="E15" s="8">
        <v>8</v>
      </c>
      <c r="F15" s="8">
        <v>1</v>
      </c>
      <c r="G15" s="8">
        <v>0</v>
      </c>
      <c r="H15" s="8">
        <v>88</v>
      </c>
      <c r="I15" s="8">
        <v>0</v>
      </c>
      <c r="J15" s="8">
        <v>0</v>
      </c>
      <c r="K15" s="8">
        <v>0</v>
      </c>
      <c r="L15" s="8">
        <v>0</v>
      </c>
      <c r="M15" s="8">
        <v>0</v>
      </c>
      <c r="N15" s="8">
        <v>0</v>
      </c>
      <c r="O15" s="20">
        <v>101</v>
      </c>
      <c r="P15" s="8">
        <v>0</v>
      </c>
      <c r="Q15" s="8">
        <v>0</v>
      </c>
      <c r="R15" s="8">
        <v>0</v>
      </c>
      <c r="S15" s="8">
        <v>0</v>
      </c>
      <c r="T15" s="8">
        <v>0</v>
      </c>
      <c r="U15" s="8">
        <v>0</v>
      </c>
      <c r="V15" s="8">
        <v>32</v>
      </c>
      <c r="W15" s="8">
        <v>117</v>
      </c>
      <c r="X15" s="8">
        <v>272</v>
      </c>
      <c r="Y15" s="8">
        <v>632</v>
      </c>
      <c r="Z15" s="8">
        <v>955</v>
      </c>
      <c r="AA15" s="8">
        <v>1977</v>
      </c>
      <c r="AB15" s="20">
        <v>3985</v>
      </c>
      <c r="AC15" s="8">
        <v>1624</v>
      </c>
      <c r="AD15" s="8">
        <v>1914</v>
      </c>
      <c r="AE15" s="8">
        <v>1697</v>
      </c>
      <c r="AF15" s="8">
        <v>2453</v>
      </c>
      <c r="AG15" s="8">
        <v>2293</v>
      </c>
      <c r="AH15" s="8">
        <v>2447</v>
      </c>
      <c r="AI15" s="8">
        <v>2111</v>
      </c>
      <c r="AJ15" s="8">
        <v>2770</v>
      </c>
      <c r="AK15" s="8">
        <v>2166</v>
      </c>
      <c r="AL15" s="8">
        <v>2377</v>
      </c>
      <c r="AM15" s="8">
        <v>2921</v>
      </c>
      <c r="AN15" s="8">
        <v>2964</v>
      </c>
      <c r="AO15" s="20">
        <v>27737</v>
      </c>
      <c r="AP15" s="8">
        <v>2126</v>
      </c>
      <c r="AQ15" s="8">
        <v>3709</v>
      </c>
      <c r="AR15" s="8">
        <v>2081</v>
      </c>
      <c r="AS15" s="8">
        <v>3996</v>
      </c>
      <c r="AT15" s="8">
        <v>2849</v>
      </c>
      <c r="AU15" s="8">
        <v>4637</v>
      </c>
      <c r="AV15" s="8">
        <v>2516</v>
      </c>
      <c r="AW15" s="8">
        <v>3940</v>
      </c>
      <c r="AX15" s="8">
        <v>3320</v>
      </c>
      <c r="AY15" s="8">
        <v>2637</v>
      </c>
      <c r="AZ15" s="8">
        <v>2485</v>
      </c>
      <c r="BA15" s="8">
        <v>2800</v>
      </c>
      <c r="BB15" s="20">
        <v>37096</v>
      </c>
      <c r="BC15" s="8">
        <v>2684</v>
      </c>
      <c r="BD15" s="8">
        <v>2446</v>
      </c>
      <c r="BE15" s="8">
        <v>2612</v>
      </c>
      <c r="BF15" s="8">
        <v>2793</v>
      </c>
      <c r="BG15" s="8">
        <v>3277</v>
      </c>
      <c r="BH15" s="8">
        <v>3443</v>
      </c>
      <c r="BI15" s="8">
        <v>2688</v>
      </c>
      <c r="BJ15" s="8">
        <v>3201</v>
      </c>
      <c r="BK15" s="8">
        <v>3938</v>
      </c>
      <c r="BL15" s="8">
        <v>3091</v>
      </c>
      <c r="BM15" s="8">
        <v>3210</v>
      </c>
      <c r="BN15" s="8">
        <v>3775</v>
      </c>
      <c r="BO15" s="20">
        <v>37158</v>
      </c>
      <c r="BP15" s="20">
        <f t="shared" si="0"/>
        <v>106077</v>
      </c>
    </row>
    <row r="16" spans="1:68" x14ac:dyDescent="0.2">
      <c r="A16" s="3">
        <v>11</v>
      </c>
      <c r="B16" t="s">
        <v>25</v>
      </c>
      <c r="C16" s="8">
        <v>0</v>
      </c>
      <c r="D16" s="8">
        <v>0</v>
      </c>
      <c r="E16" s="8">
        <v>0</v>
      </c>
      <c r="F16" s="8">
        <v>1</v>
      </c>
      <c r="G16" s="8">
        <v>4</v>
      </c>
      <c r="H16" s="8">
        <v>3</v>
      </c>
      <c r="I16" s="8">
        <v>1</v>
      </c>
      <c r="J16" s="8">
        <v>0</v>
      </c>
      <c r="K16" s="8">
        <v>0</v>
      </c>
      <c r="L16" s="8">
        <v>0</v>
      </c>
      <c r="M16" s="8">
        <v>0</v>
      </c>
      <c r="N16" s="8">
        <v>2</v>
      </c>
      <c r="O16" s="20">
        <v>11</v>
      </c>
      <c r="P16" s="8">
        <v>0</v>
      </c>
      <c r="Q16" s="8">
        <v>0</v>
      </c>
      <c r="R16" s="8">
        <v>0</v>
      </c>
      <c r="S16" s="8">
        <v>0</v>
      </c>
      <c r="T16" s="8">
        <v>0</v>
      </c>
      <c r="U16" s="8">
        <v>0</v>
      </c>
      <c r="V16" s="8">
        <v>0</v>
      </c>
      <c r="W16" s="8">
        <v>0</v>
      </c>
      <c r="X16" s="8">
        <v>0</v>
      </c>
      <c r="Y16" s="8">
        <v>257</v>
      </c>
      <c r="Z16" s="8">
        <v>452</v>
      </c>
      <c r="AA16" s="8">
        <v>1177</v>
      </c>
      <c r="AB16" s="20">
        <v>1886</v>
      </c>
      <c r="AC16" s="8">
        <v>1440</v>
      </c>
      <c r="AD16" s="8">
        <v>2024</v>
      </c>
      <c r="AE16" s="8">
        <v>1901</v>
      </c>
      <c r="AF16" s="8">
        <v>1349</v>
      </c>
      <c r="AG16" s="8">
        <v>2350</v>
      </c>
      <c r="AH16" s="8">
        <v>2157</v>
      </c>
      <c r="AI16" s="8">
        <v>2582</v>
      </c>
      <c r="AJ16" s="8">
        <v>3108</v>
      </c>
      <c r="AK16" s="8">
        <v>2481</v>
      </c>
      <c r="AL16" s="8">
        <v>1875</v>
      </c>
      <c r="AM16" s="8">
        <v>2577</v>
      </c>
      <c r="AN16" s="8">
        <v>3461</v>
      </c>
      <c r="AO16" s="20">
        <v>27305</v>
      </c>
      <c r="AP16" s="8">
        <v>2379</v>
      </c>
      <c r="AQ16" s="8">
        <v>4421</v>
      </c>
      <c r="AR16" s="8">
        <v>1582</v>
      </c>
      <c r="AS16" s="8">
        <v>2533</v>
      </c>
      <c r="AT16" s="8">
        <v>2050</v>
      </c>
      <c r="AU16" s="8">
        <v>2080</v>
      </c>
      <c r="AV16" s="8">
        <v>2489</v>
      </c>
      <c r="AW16" s="8">
        <v>3042</v>
      </c>
      <c r="AX16" s="8">
        <v>3909</v>
      </c>
      <c r="AY16" s="8">
        <v>3237</v>
      </c>
      <c r="AZ16" s="8">
        <v>2534</v>
      </c>
      <c r="BA16" s="8">
        <v>3598</v>
      </c>
      <c r="BB16" s="20">
        <v>33854</v>
      </c>
      <c r="BC16" s="8">
        <v>3811</v>
      </c>
      <c r="BD16" s="8">
        <v>3825</v>
      </c>
      <c r="BE16" s="8">
        <v>1512</v>
      </c>
      <c r="BF16" s="8">
        <v>2184</v>
      </c>
      <c r="BG16" s="8">
        <v>4003</v>
      </c>
      <c r="BH16" s="8">
        <v>3607</v>
      </c>
      <c r="BI16" s="8">
        <v>4088</v>
      </c>
      <c r="BJ16" s="8">
        <v>4305</v>
      </c>
      <c r="BK16" s="8">
        <v>5390</v>
      </c>
      <c r="BL16" s="8">
        <v>4257</v>
      </c>
      <c r="BM16" s="8">
        <v>3627</v>
      </c>
      <c r="BN16" s="8">
        <v>4217</v>
      </c>
      <c r="BO16" s="20">
        <v>44826</v>
      </c>
      <c r="BP16" s="20">
        <f t="shared" si="0"/>
        <v>107882</v>
      </c>
    </row>
    <row r="17" spans="1:68" x14ac:dyDescent="0.2">
      <c r="A17" s="3">
        <v>12</v>
      </c>
      <c r="B17" t="s">
        <v>26</v>
      </c>
      <c r="C17" s="8">
        <v>0</v>
      </c>
      <c r="D17" s="8">
        <v>0</v>
      </c>
      <c r="E17" s="8">
        <v>2</v>
      </c>
      <c r="F17" s="8">
        <v>2</v>
      </c>
      <c r="G17" s="8">
        <v>1</v>
      </c>
      <c r="H17" s="8">
        <v>3</v>
      </c>
      <c r="I17" s="8">
        <v>0</v>
      </c>
      <c r="J17" s="8">
        <v>0</v>
      </c>
      <c r="K17" s="8">
        <v>0</v>
      </c>
      <c r="L17" s="8">
        <v>0</v>
      </c>
      <c r="M17" s="8">
        <v>0</v>
      </c>
      <c r="N17" s="8">
        <v>0</v>
      </c>
      <c r="O17" s="20">
        <v>8</v>
      </c>
      <c r="P17" s="8">
        <v>0</v>
      </c>
      <c r="Q17" s="8">
        <v>0</v>
      </c>
      <c r="R17" s="8">
        <v>0</v>
      </c>
      <c r="S17" s="8">
        <v>0</v>
      </c>
      <c r="T17" s="8">
        <v>0</v>
      </c>
      <c r="U17" s="8">
        <v>0</v>
      </c>
      <c r="V17" s="8">
        <v>0</v>
      </c>
      <c r="W17" s="8">
        <v>0</v>
      </c>
      <c r="X17" s="8">
        <v>0</v>
      </c>
      <c r="Y17" s="8">
        <v>0</v>
      </c>
      <c r="Z17" s="8">
        <v>0</v>
      </c>
      <c r="AA17" s="8">
        <v>0</v>
      </c>
      <c r="AB17" s="20">
        <v>0</v>
      </c>
      <c r="AC17" s="8">
        <v>1</v>
      </c>
      <c r="AD17" s="8">
        <v>1</v>
      </c>
      <c r="AE17" s="8">
        <v>1</v>
      </c>
      <c r="AF17" s="8">
        <v>0</v>
      </c>
      <c r="AG17" s="8">
        <v>0</v>
      </c>
      <c r="AH17" s="8">
        <v>0</v>
      </c>
      <c r="AI17" s="8">
        <v>0</v>
      </c>
      <c r="AJ17" s="8">
        <v>0</v>
      </c>
      <c r="AK17" s="8">
        <v>8</v>
      </c>
      <c r="AL17" s="8">
        <v>0</v>
      </c>
      <c r="AM17" s="8">
        <v>0</v>
      </c>
      <c r="AN17" s="8">
        <v>0</v>
      </c>
      <c r="AO17" s="20">
        <v>11</v>
      </c>
      <c r="AP17" s="8">
        <v>0</v>
      </c>
      <c r="AQ17" s="8">
        <v>2</v>
      </c>
      <c r="AR17" s="8">
        <v>0</v>
      </c>
      <c r="AS17" s="8">
        <v>0</v>
      </c>
      <c r="AT17" s="8">
        <v>0</v>
      </c>
      <c r="AU17" s="8">
        <v>0</v>
      </c>
      <c r="AV17" s="8">
        <v>0</v>
      </c>
      <c r="AW17" s="8">
        <v>0</v>
      </c>
      <c r="AX17" s="8">
        <v>0</v>
      </c>
      <c r="AY17" s="8">
        <v>0</v>
      </c>
      <c r="AZ17" s="8">
        <v>0</v>
      </c>
      <c r="BA17" s="8">
        <v>0</v>
      </c>
      <c r="BB17" s="20">
        <v>2</v>
      </c>
      <c r="BC17" s="8">
        <v>0</v>
      </c>
      <c r="BD17" s="8">
        <v>0</v>
      </c>
      <c r="BE17" s="8">
        <v>0</v>
      </c>
      <c r="BF17" s="8">
        <v>0</v>
      </c>
      <c r="BG17" s="8">
        <v>0</v>
      </c>
      <c r="BH17" s="8">
        <v>4</v>
      </c>
      <c r="BI17" s="8">
        <v>11</v>
      </c>
      <c r="BJ17" s="8">
        <v>0</v>
      </c>
      <c r="BK17" s="8">
        <v>1381</v>
      </c>
      <c r="BL17" s="8">
        <v>1618</v>
      </c>
      <c r="BM17" s="8">
        <v>1365</v>
      </c>
      <c r="BN17" s="8">
        <v>1627</v>
      </c>
      <c r="BO17" s="20">
        <v>6006</v>
      </c>
      <c r="BP17" s="20">
        <f t="shared" si="0"/>
        <v>6027</v>
      </c>
    </row>
    <row r="18" spans="1:68" x14ac:dyDescent="0.2">
      <c r="A18" s="3">
        <v>13</v>
      </c>
      <c r="B18" t="s">
        <v>27</v>
      </c>
      <c r="C18" s="8">
        <v>0</v>
      </c>
      <c r="D18" s="8">
        <v>0</v>
      </c>
      <c r="E18" s="8">
        <v>0</v>
      </c>
      <c r="F18" s="8">
        <v>0</v>
      </c>
      <c r="G18" s="8">
        <v>0</v>
      </c>
      <c r="H18" s="8">
        <v>0</v>
      </c>
      <c r="I18" s="8">
        <v>0</v>
      </c>
      <c r="J18" s="8">
        <v>0</v>
      </c>
      <c r="K18" s="8">
        <v>0</v>
      </c>
      <c r="L18" s="8">
        <v>0</v>
      </c>
      <c r="M18" s="8">
        <v>0</v>
      </c>
      <c r="N18" s="8">
        <v>0</v>
      </c>
      <c r="O18" s="20">
        <v>0</v>
      </c>
      <c r="P18" s="8">
        <v>0</v>
      </c>
      <c r="Q18" s="8">
        <v>0</v>
      </c>
      <c r="R18" s="8">
        <v>0</v>
      </c>
      <c r="S18" s="8">
        <v>0</v>
      </c>
      <c r="T18" s="8">
        <v>0</v>
      </c>
      <c r="U18" s="8">
        <v>0</v>
      </c>
      <c r="V18" s="8">
        <v>0</v>
      </c>
      <c r="W18" s="8">
        <v>0</v>
      </c>
      <c r="X18" s="8">
        <v>0</v>
      </c>
      <c r="Y18" s="8">
        <v>0</v>
      </c>
      <c r="Z18" s="8">
        <v>0</v>
      </c>
      <c r="AA18" s="8">
        <v>0</v>
      </c>
      <c r="AB18" s="20">
        <v>0</v>
      </c>
      <c r="AC18" s="8">
        <v>0</v>
      </c>
      <c r="AD18" s="8">
        <v>1</v>
      </c>
      <c r="AE18" s="8">
        <v>0</v>
      </c>
      <c r="AF18" s="8">
        <v>0</v>
      </c>
      <c r="AG18" s="8">
        <v>0</v>
      </c>
      <c r="AH18" s="8">
        <v>0</v>
      </c>
      <c r="AI18" s="8">
        <v>0</v>
      </c>
      <c r="AJ18" s="8">
        <v>0</v>
      </c>
      <c r="AK18" s="8">
        <v>0</v>
      </c>
      <c r="AL18" s="8">
        <v>0</v>
      </c>
      <c r="AM18" s="8">
        <v>0</v>
      </c>
      <c r="AN18" s="8">
        <v>2</v>
      </c>
      <c r="AO18" s="20">
        <v>3</v>
      </c>
      <c r="AP18" s="8">
        <v>0</v>
      </c>
      <c r="AQ18" s="8">
        <v>0</v>
      </c>
      <c r="AR18" s="8">
        <v>0</v>
      </c>
      <c r="AS18" s="8">
        <v>0</v>
      </c>
      <c r="AT18" s="8">
        <v>0</v>
      </c>
      <c r="AU18" s="8">
        <v>0</v>
      </c>
      <c r="AV18" s="8">
        <v>0</v>
      </c>
      <c r="AW18" s="8">
        <v>0</v>
      </c>
      <c r="AX18" s="8">
        <v>5</v>
      </c>
      <c r="AY18" s="8">
        <v>3</v>
      </c>
      <c r="AZ18" s="8">
        <v>0</v>
      </c>
      <c r="BA18" s="8">
        <v>0</v>
      </c>
      <c r="BB18" s="20">
        <v>8</v>
      </c>
      <c r="BC18" s="8">
        <v>1</v>
      </c>
      <c r="BD18" s="8">
        <v>0</v>
      </c>
      <c r="BE18" s="8">
        <v>0</v>
      </c>
      <c r="BF18" s="8">
        <v>0</v>
      </c>
      <c r="BG18" s="8">
        <v>0</v>
      </c>
      <c r="BH18" s="8">
        <v>0</v>
      </c>
      <c r="BI18" s="8">
        <v>29</v>
      </c>
      <c r="BJ18" s="8">
        <v>0</v>
      </c>
      <c r="BK18" s="8">
        <v>1838</v>
      </c>
      <c r="BL18" s="8">
        <v>1674</v>
      </c>
      <c r="BM18" s="8">
        <v>1693</v>
      </c>
      <c r="BN18" s="8">
        <v>2371</v>
      </c>
      <c r="BO18" s="20">
        <v>7606</v>
      </c>
      <c r="BP18" s="20">
        <f t="shared" si="0"/>
        <v>7617</v>
      </c>
    </row>
    <row r="19" spans="1:68" x14ac:dyDescent="0.2">
      <c r="A19" s="3">
        <v>14</v>
      </c>
      <c r="B19" t="s">
        <v>28</v>
      </c>
      <c r="C19" s="8">
        <v>0</v>
      </c>
      <c r="D19" s="8">
        <v>0</v>
      </c>
      <c r="E19" s="8">
        <v>0</v>
      </c>
      <c r="F19" s="8">
        <v>0</v>
      </c>
      <c r="G19" s="8">
        <v>0</v>
      </c>
      <c r="H19" s="8">
        <v>0</v>
      </c>
      <c r="I19" s="8">
        <v>0</v>
      </c>
      <c r="J19" s="8">
        <v>0</v>
      </c>
      <c r="K19" s="8">
        <v>0</v>
      </c>
      <c r="L19" s="8">
        <v>0</v>
      </c>
      <c r="M19" s="8">
        <v>0</v>
      </c>
      <c r="N19" s="8">
        <v>0</v>
      </c>
      <c r="O19" s="20">
        <v>0</v>
      </c>
      <c r="P19" s="8">
        <v>0</v>
      </c>
      <c r="Q19" s="8">
        <v>0</v>
      </c>
      <c r="R19" s="8">
        <v>0</v>
      </c>
      <c r="S19" s="8">
        <v>164</v>
      </c>
      <c r="T19" s="8">
        <v>364</v>
      </c>
      <c r="U19" s="8">
        <v>523</v>
      </c>
      <c r="V19" s="8">
        <v>706</v>
      </c>
      <c r="W19" s="8">
        <v>503</v>
      </c>
      <c r="X19" s="8">
        <v>701</v>
      </c>
      <c r="Y19" s="8">
        <v>897</v>
      </c>
      <c r="Z19" s="8">
        <v>526</v>
      </c>
      <c r="AA19" s="8">
        <v>1530</v>
      </c>
      <c r="AB19" s="20">
        <v>5914</v>
      </c>
      <c r="AC19" s="8">
        <v>1066</v>
      </c>
      <c r="AD19" s="8">
        <v>1469</v>
      </c>
      <c r="AE19" s="8">
        <v>921</v>
      </c>
      <c r="AF19" s="8">
        <v>1564</v>
      </c>
      <c r="AG19" s="8">
        <v>1432</v>
      </c>
      <c r="AH19" s="8">
        <v>1888</v>
      </c>
      <c r="AI19" s="8">
        <v>1755</v>
      </c>
      <c r="AJ19" s="8">
        <v>1609</v>
      </c>
      <c r="AK19" s="8">
        <v>1787</v>
      </c>
      <c r="AL19" s="8">
        <v>1175</v>
      </c>
      <c r="AM19" s="8">
        <v>1194</v>
      </c>
      <c r="AN19" s="8">
        <v>1500</v>
      </c>
      <c r="AO19" s="20">
        <v>17360</v>
      </c>
      <c r="AP19" s="8">
        <v>742</v>
      </c>
      <c r="AQ19" s="8">
        <v>1408</v>
      </c>
      <c r="AR19" s="8">
        <v>579</v>
      </c>
      <c r="AS19" s="8">
        <v>1402</v>
      </c>
      <c r="AT19" s="8">
        <v>1066</v>
      </c>
      <c r="AU19" s="8">
        <v>1092</v>
      </c>
      <c r="AV19" s="8">
        <v>1532</v>
      </c>
      <c r="AW19" s="8">
        <v>1427</v>
      </c>
      <c r="AX19" s="8">
        <v>1326</v>
      </c>
      <c r="AY19" s="8">
        <v>1091</v>
      </c>
      <c r="AZ19" s="8">
        <v>947</v>
      </c>
      <c r="BA19" s="8">
        <v>1085</v>
      </c>
      <c r="BB19" s="20">
        <v>13697</v>
      </c>
      <c r="BC19" s="8">
        <v>1203</v>
      </c>
      <c r="BD19" s="8">
        <v>979</v>
      </c>
      <c r="BE19" s="8">
        <v>1300</v>
      </c>
      <c r="BF19" s="8">
        <v>827</v>
      </c>
      <c r="BG19" s="8">
        <v>1468</v>
      </c>
      <c r="BH19" s="8">
        <v>1959</v>
      </c>
      <c r="BI19" s="8">
        <v>1781</v>
      </c>
      <c r="BJ19" s="8">
        <v>1814</v>
      </c>
      <c r="BK19" s="8">
        <v>1594</v>
      </c>
      <c r="BL19" s="8">
        <v>1565</v>
      </c>
      <c r="BM19" s="8">
        <v>1306</v>
      </c>
      <c r="BN19" s="8">
        <v>2321</v>
      </c>
      <c r="BO19" s="20">
        <v>18117</v>
      </c>
      <c r="BP19" s="20">
        <f t="shared" si="0"/>
        <v>55088</v>
      </c>
    </row>
    <row r="20" spans="1:68" x14ac:dyDescent="0.2">
      <c r="A20" s="3">
        <v>15</v>
      </c>
      <c r="B20" t="s">
        <v>29</v>
      </c>
      <c r="C20" s="8">
        <v>0</v>
      </c>
      <c r="D20" s="8">
        <v>0</v>
      </c>
      <c r="E20" s="8">
        <v>0</v>
      </c>
      <c r="F20" s="8">
        <v>0</v>
      </c>
      <c r="G20" s="8">
        <v>0</v>
      </c>
      <c r="H20" s="8">
        <v>0</v>
      </c>
      <c r="I20" s="8">
        <v>804</v>
      </c>
      <c r="J20" s="8">
        <v>477</v>
      </c>
      <c r="K20" s="8">
        <v>0</v>
      </c>
      <c r="L20" s="8">
        <v>0</v>
      </c>
      <c r="M20" s="8">
        <v>0</v>
      </c>
      <c r="N20" s="8">
        <v>0</v>
      </c>
      <c r="O20" s="20">
        <v>1281</v>
      </c>
      <c r="P20" s="8">
        <v>0</v>
      </c>
      <c r="Q20" s="8">
        <v>0</v>
      </c>
      <c r="R20" s="8">
        <v>0</v>
      </c>
      <c r="S20" s="8">
        <v>0</v>
      </c>
      <c r="T20" s="8">
        <v>0</v>
      </c>
      <c r="U20" s="8">
        <v>8</v>
      </c>
      <c r="V20" s="8">
        <v>1024</v>
      </c>
      <c r="W20" s="8">
        <v>4</v>
      </c>
      <c r="X20" s="8">
        <v>4</v>
      </c>
      <c r="Y20" s="8">
        <v>90</v>
      </c>
      <c r="Z20" s="8">
        <v>0</v>
      </c>
      <c r="AA20" s="8">
        <v>0</v>
      </c>
      <c r="AB20" s="20">
        <v>1130</v>
      </c>
      <c r="AC20" s="8">
        <v>0</v>
      </c>
      <c r="AD20" s="8">
        <v>1</v>
      </c>
      <c r="AE20" s="8">
        <v>1</v>
      </c>
      <c r="AF20" s="8">
        <v>0</v>
      </c>
      <c r="AG20" s="8">
        <v>0</v>
      </c>
      <c r="AH20" s="8">
        <v>0</v>
      </c>
      <c r="AI20" s="8">
        <v>11</v>
      </c>
      <c r="AJ20" s="8">
        <v>4</v>
      </c>
      <c r="AK20" s="8">
        <v>0</v>
      </c>
      <c r="AL20" s="8">
        <v>0</v>
      </c>
      <c r="AM20" s="8">
        <v>1</v>
      </c>
      <c r="AN20" s="8">
        <v>6</v>
      </c>
      <c r="AO20" s="20">
        <v>24</v>
      </c>
      <c r="AP20" s="8">
        <v>0</v>
      </c>
      <c r="AQ20" s="8">
        <v>2</v>
      </c>
      <c r="AR20" s="8">
        <v>2</v>
      </c>
      <c r="AS20" s="8">
        <v>0</v>
      </c>
      <c r="AT20" s="8">
        <v>5</v>
      </c>
      <c r="AU20" s="8">
        <v>0</v>
      </c>
      <c r="AV20" s="8">
        <v>15</v>
      </c>
      <c r="AW20" s="8">
        <v>11</v>
      </c>
      <c r="AX20" s="8">
        <v>0</v>
      </c>
      <c r="AY20" s="8">
        <v>0</v>
      </c>
      <c r="AZ20" s="8">
        <v>0</v>
      </c>
      <c r="BA20" s="8">
        <v>2</v>
      </c>
      <c r="BB20" s="20">
        <v>37</v>
      </c>
      <c r="BC20" s="8">
        <v>0</v>
      </c>
      <c r="BD20" s="8">
        <v>0</v>
      </c>
      <c r="BE20" s="8">
        <v>4</v>
      </c>
      <c r="BF20" s="8">
        <v>1</v>
      </c>
      <c r="BG20" s="8">
        <v>11</v>
      </c>
      <c r="BH20" s="8">
        <v>2</v>
      </c>
      <c r="BI20" s="8">
        <v>204</v>
      </c>
      <c r="BJ20" s="8">
        <v>1138</v>
      </c>
      <c r="BK20" s="8">
        <v>933</v>
      </c>
      <c r="BL20" s="8">
        <v>834</v>
      </c>
      <c r="BM20" s="8">
        <v>1110</v>
      </c>
      <c r="BN20" s="8">
        <v>837</v>
      </c>
      <c r="BO20" s="20">
        <v>5074</v>
      </c>
      <c r="BP20" s="20">
        <f t="shared" si="0"/>
        <v>7546</v>
      </c>
    </row>
    <row r="21" spans="1:68" x14ac:dyDescent="0.2">
      <c r="A21" s="3">
        <v>16</v>
      </c>
      <c r="B21" t="s">
        <v>30</v>
      </c>
      <c r="C21" s="8">
        <v>25</v>
      </c>
      <c r="D21" s="8">
        <v>24</v>
      </c>
      <c r="E21" s="8">
        <v>39</v>
      </c>
      <c r="F21" s="8">
        <v>29</v>
      </c>
      <c r="G21" s="8">
        <v>26</v>
      </c>
      <c r="H21" s="8">
        <v>37</v>
      </c>
      <c r="I21" s="8">
        <v>129</v>
      </c>
      <c r="J21" s="8">
        <v>16</v>
      </c>
      <c r="K21" s="8">
        <v>69</v>
      </c>
      <c r="L21" s="8">
        <v>31</v>
      </c>
      <c r="M21" s="8">
        <v>75</v>
      </c>
      <c r="N21" s="8">
        <v>53</v>
      </c>
      <c r="O21" s="20">
        <v>553</v>
      </c>
      <c r="P21" s="8">
        <v>16</v>
      </c>
      <c r="Q21" s="8">
        <v>0</v>
      </c>
      <c r="R21" s="8">
        <v>0</v>
      </c>
      <c r="S21" s="8">
        <v>13</v>
      </c>
      <c r="T21" s="8">
        <v>20</v>
      </c>
      <c r="U21" s="8">
        <v>31</v>
      </c>
      <c r="V21" s="8">
        <v>2024</v>
      </c>
      <c r="W21" s="8">
        <v>682</v>
      </c>
      <c r="X21" s="8">
        <v>623</v>
      </c>
      <c r="Y21" s="8">
        <v>539</v>
      </c>
      <c r="Z21" s="8">
        <v>735</v>
      </c>
      <c r="AA21" s="8">
        <v>658</v>
      </c>
      <c r="AB21" s="20">
        <v>5341</v>
      </c>
      <c r="AC21" s="8">
        <v>672</v>
      </c>
      <c r="AD21" s="8">
        <v>645</v>
      </c>
      <c r="AE21" s="8">
        <v>953</v>
      </c>
      <c r="AF21" s="8">
        <v>889</v>
      </c>
      <c r="AG21" s="8">
        <v>1543</v>
      </c>
      <c r="AH21" s="8">
        <v>1341</v>
      </c>
      <c r="AI21" s="8">
        <v>2376</v>
      </c>
      <c r="AJ21" s="8">
        <v>1796</v>
      </c>
      <c r="AK21" s="8">
        <v>1840</v>
      </c>
      <c r="AL21" s="8">
        <v>1518</v>
      </c>
      <c r="AM21" s="8">
        <v>1585</v>
      </c>
      <c r="AN21" s="8">
        <v>1831</v>
      </c>
      <c r="AO21" s="20">
        <v>16989</v>
      </c>
      <c r="AP21" s="8">
        <v>1941</v>
      </c>
      <c r="AQ21" s="8">
        <v>2432</v>
      </c>
      <c r="AR21" s="8">
        <v>1376</v>
      </c>
      <c r="AS21" s="8">
        <v>1711</v>
      </c>
      <c r="AT21" s="8">
        <v>2396</v>
      </c>
      <c r="AU21" s="8">
        <v>2092</v>
      </c>
      <c r="AV21" s="8">
        <v>3170</v>
      </c>
      <c r="AW21" s="8">
        <v>2842</v>
      </c>
      <c r="AX21" s="8">
        <v>3882</v>
      </c>
      <c r="AY21" s="8">
        <v>4224</v>
      </c>
      <c r="AZ21" s="8">
        <v>3901</v>
      </c>
      <c r="BA21" s="8">
        <v>4347</v>
      </c>
      <c r="BB21" s="20">
        <v>34314</v>
      </c>
      <c r="BC21" s="8">
        <v>3231</v>
      </c>
      <c r="BD21" s="8">
        <v>3571</v>
      </c>
      <c r="BE21" s="8">
        <v>3758</v>
      </c>
      <c r="BF21" s="8">
        <v>5317</v>
      </c>
      <c r="BG21" s="8">
        <v>6381</v>
      </c>
      <c r="BH21" s="8">
        <v>6311</v>
      </c>
      <c r="BI21" s="8">
        <v>7243</v>
      </c>
      <c r="BJ21" s="8">
        <v>5969</v>
      </c>
      <c r="BK21" s="8">
        <v>5195</v>
      </c>
      <c r="BL21" s="8">
        <v>5074</v>
      </c>
      <c r="BM21" s="8">
        <v>5353</v>
      </c>
      <c r="BN21" s="8">
        <v>6069</v>
      </c>
      <c r="BO21" s="20">
        <v>63472</v>
      </c>
      <c r="BP21" s="20">
        <f t="shared" si="0"/>
        <v>120669</v>
      </c>
    </row>
    <row r="22" spans="1:68" s="2" customFormat="1" x14ac:dyDescent="0.2">
      <c r="A22" s="3" t="s">
        <v>299</v>
      </c>
      <c r="B22" s="2" t="s">
        <v>31</v>
      </c>
      <c r="C22" s="20">
        <v>37667</v>
      </c>
      <c r="D22" s="20">
        <v>29300</v>
      </c>
      <c r="E22" s="20">
        <v>35317</v>
      </c>
      <c r="F22" s="20">
        <v>30918</v>
      </c>
      <c r="G22" s="20">
        <v>39720</v>
      </c>
      <c r="H22" s="20">
        <v>29929</v>
      </c>
      <c r="I22" s="20">
        <v>35511</v>
      </c>
      <c r="J22" s="20">
        <v>33497</v>
      </c>
      <c r="K22" s="20">
        <v>33397</v>
      </c>
      <c r="L22" s="20">
        <v>38245</v>
      </c>
      <c r="M22" s="20">
        <v>32741</v>
      </c>
      <c r="N22" s="20">
        <v>39230</v>
      </c>
      <c r="O22" s="20">
        <v>415472</v>
      </c>
      <c r="P22" s="20">
        <v>58442</v>
      </c>
      <c r="Q22" s="20">
        <v>51539</v>
      </c>
      <c r="R22" s="20">
        <v>60357</v>
      </c>
      <c r="S22" s="20">
        <v>69085</v>
      </c>
      <c r="T22" s="20">
        <v>105719</v>
      </c>
      <c r="U22" s="20">
        <v>134664</v>
      </c>
      <c r="V22" s="20">
        <v>184193</v>
      </c>
      <c r="W22" s="20">
        <v>164918</v>
      </c>
      <c r="X22" s="20">
        <v>196668</v>
      </c>
      <c r="Y22" s="20">
        <v>207390</v>
      </c>
      <c r="Z22" s="20">
        <v>193894</v>
      </c>
      <c r="AA22" s="20">
        <v>299967</v>
      </c>
      <c r="AB22" s="20">
        <v>1726836</v>
      </c>
      <c r="AC22" s="20">
        <v>224851</v>
      </c>
      <c r="AD22" s="20">
        <v>191063</v>
      </c>
      <c r="AE22" s="20">
        <v>236181</v>
      </c>
      <c r="AF22" s="20">
        <v>235660</v>
      </c>
      <c r="AG22" s="20">
        <v>214326</v>
      </c>
      <c r="AH22" s="20">
        <v>276039</v>
      </c>
      <c r="AI22" s="20">
        <v>225106</v>
      </c>
      <c r="AJ22" s="20">
        <v>220199</v>
      </c>
      <c r="AK22" s="20">
        <v>212770</v>
      </c>
      <c r="AL22" s="20">
        <v>186161</v>
      </c>
      <c r="AM22" s="20">
        <v>190258</v>
      </c>
      <c r="AN22" s="20">
        <v>291763</v>
      </c>
      <c r="AO22" s="20">
        <v>2704377</v>
      </c>
      <c r="AP22" s="20">
        <v>198072</v>
      </c>
      <c r="AQ22" s="20">
        <v>239718</v>
      </c>
      <c r="AR22" s="20">
        <v>252013</v>
      </c>
      <c r="AS22" s="20">
        <v>211716</v>
      </c>
      <c r="AT22" s="20">
        <v>212718</v>
      </c>
      <c r="AU22" s="20">
        <v>261165</v>
      </c>
      <c r="AV22" s="20">
        <v>212433</v>
      </c>
      <c r="AW22" s="20">
        <v>248758</v>
      </c>
      <c r="AX22" s="20">
        <v>231748</v>
      </c>
      <c r="AY22" s="20">
        <v>218620</v>
      </c>
      <c r="AZ22" s="20">
        <v>223293</v>
      </c>
      <c r="BA22" s="20">
        <v>264692</v>
      </c>
      <c r="BB22" s="20">
        <v>2774905</v>
      </c>
      <c r="BC22" s="20">
        <v>232267</v>
      </c>
      <c r="BD22" s="20">
        <v>203450</v>
      </c>
      <c r="BE22" s="20">
        <v>206397</v>
      </c>
      <c r="BF22" s="20">
        <v>200550</v>
      </c>
      <c r="BG22" s="20">
        <v>244169</v>
      </c>
      <c r="BH22" s="20">
        <v>307815</v>
      </c>
      <c r="BI22" s="20">
        <v>242599</v>
      </c>
      <c r="BJ22" s="20">
        <v>263040</v>
      </c>
      <c r="BK22" s="20">
        <v>264693</v>
      </c>
      <c r="BL22" s="20">
        <v>260124</v>
      </c>
      <c r="BM22" s="20">
        <v>250166</v>
      </c>
      <c r="BN22" s="20">
        <v>353577</v>
      </c>
      <c r="BO22" s="20">
        <v>3028847</v>
      </c>
      <c r="BP22" s="20"/>
    </row>
    <row r="23" spans="1:68" x14ac:dyDescent="0.2">
      <c r="A23" s="3">
        <v>17</v>
      </c>
      <c r="B23" t="s">
        <v>32</v>
      </c>
      <c r="C23" s="8">
        <v>260</v>
      </c>
      <c r="D23" s="8">
        <v>157</v>
      </c>
      <c r="E23" s="8">
        <v>343</v>
      </c>
      <c r="F23" s="8">
        <v>191</v>
      </c>
      <c r="G23" s="8">
        <v>245</v>
      </c>
      <c r="H23" s="8">
        <v>250</v>
      </c>
      <c r="I23" s="8">
        <v>153</v>
      </c>
      <c r="J23" s="8">
        <v>149</v>
      </c>
      <c r="K23" s="8">
        <v>129</v>
      </c>
      <c r="L23" s="8">
        <v>158</v>
      </c>
      <c r="M23" s="8">
        <v>234</v>
      </c>
      <c r="N23" s="8">
        <v>313</v>
      </c>
      <c r="O23" s="20">
        <v>2582</v>
      </c>
      <c r="P23" s="8">
        <v>240</v>
      </c>
      <c r="Q23" s="8">
        <v>329</v>
      </c>
      <c r="R23" s="8">
        <v>995</v>
      </c>
      <c r="S23" s="8">
        <v>8136</v>
      </c>
      <c r="T23" s="8">
        <v>16741</v>
      </c>
      <c r="U23" s="8">
        <v>39649</v>
      </c>
      <c r="V23" s="8">
        <v>56610</v>
      </c>
      <c r="W23" s="8">
        <v>59750</v>
      </c>
      <c r="X23" s="8">
        <v>77981</v>
      </c>
      <c r="Y23" s="8">
        <v>77752</v>
      </c>
      <c r="Z23" s="8">
        <v>80216</v>
      </c>
      <c r="AA23" s="8">
        <v>144521</v>
      </c>
      <c r="AB23" s="20">
        <v>562920</v>
      </c>
      <c r="AC23" s="8">
        <v>93781</v>
      </c>
      <c r="AD23" s="8">
        <v>73090</v>
      </c>
      <c r="AE23" s="8">
        <v>97040</v>
      </c>
      <c r="AF23" s="8">
        <v>88776</v>
      </c>
      <c r="AG23" s="8">
        <v>76577</v>
      </c>
      <c r="AH23" s="8">
        <v>133616</v>
      </c>
      <c r="AI23" s="8">
        <v>94373</v>
      </c>
      <c r="AJ23" s="8">
        <v>94601</v>
      </c>
      <c r="AK23" s="8">
        <v>101470</v>
      </c>
      <c r="AL23" s="8">
        <v>79646</v>
      </c>
      <c r="AM23" s="8">
        <v>103497</v>
      </c>
      <c r="AN23" s="8">
        <v>149218</v>
      </c>
      <c r="AO23" s="20">
        <v>1185685</v>
      </c>
      <c r="AP23" s="8">
        <v>77836</v>
      </c>
      <c r="AQ23" s="8">
        <v>111758</v>
      </c>
      <c r="AR23" s="8">
        <v>104191</v>
      </c>
      <c r="AS23" s="8">
        <v>78674</v>
      </c>
      <c r="AT23" s="8">
        <v>99404</v>
      </c>
      <c r="AU23" s="8">
        <v>130714</v>
      </c>
      <c r="AV23" s="8">
        <v>100295</v>
      </c>
      <c r="AW23" s="8">
        <v>119550</v>
      </c>
      <c r="AX23" s="8">
        <v>114682</v>
      </c>
      <c r="AY23" s="8">
        <v>109864</v>
      </c>
      <c r="AZ23" s="8">
        <v>111306</v>
      </c>
      <c r="BA23" s="8">
        <v>157945</v>
      </c>
      <c r="BB23" s="20">
        <v>1316219</v>
      </c>
      <c r="BC23" s="8">
        <v>123223</v>
      </c>
      <c r="BD23" s="8">
        <v>103491</v>
      </c>
      <c r="BE23" s="8">
        <v>99412</v>
      </c>
      <c r="BF23" s="8">
        <v>99257</v>
      </c>
      <c r="BG23" s="8">
        <v>139491</v>
      </c>
      <c r="BH23" s="8">
        <v>166223</v>
      </c>
      <c r="BI23" s="8">
        <v>121487</v>
      </c>
      <c r="BJ23" s="8">
        <v>144698</v>
      </c>
      <c r="BK23" s="8">
        <v>140073</v>
      </c>
      <c r="BL23" s="8">
        <v>137435</v>
      </c>
      <c r="BM23" s="8">
        <v>125503</v>
      </c>
      <c r="BN23" s="8">
        <v>193464</v>
      </c>
      <c r="BO23" s="20">
        <v>1593757</v>
      </c>
      <c r="BP23" s="20">
        <f t="shared" si="0"/>
        <v>4661163</v>
      </c>
    </row>
    <row r="24" spans="1:68" x14ac:dyDescent="0.2">
      <c r="A24" s="3">
        <v>18</v>
      </c>
      <c r="B24" t="s">
        <v>33</v>
      </c>
      <c r="C24" s="8">
        <v>0</v>
      </c>
      <c r="D24" s="8">
        <v>0</v>
      </c>
      <c r="E24" s="8">
        <v>81</v>
      </c>
      <c r="F24" s="8">
        <v>10</v>
      </c>
      <c r="G24" s="8">
        <v>20</v>
      </c>
      <c r="H24" s="8">
        <v>20</v>
      </c>
      <c r="I24" s="8">
        <v>0</v>
      </c>
      <c r="J24" s="8">
        <v>0</v>
      </c>
      <c r="K24" s="8">
        <v>0</v>
      </c>
      <c r="L24" s="8">
        <v>0</v>
      </c>
      <c r="M24" s="8">
        <v>51</v>
      </c>
      <c r="N24" s="8">
        <v>77</v>
      </c>
      <c r="O24" s="20">
        <v>259</v>
      </c>
      <c r="P24" s="8">
        <v>88</v>
      </c>
      <c r="Q24" s="8">
        <v>31</v>
      </c>
      <c r="R24" s="8">
        <v>367</v>
      </c>
      <c r="S24" s="8">
        <v>2998</v>
      </c>
      <c r="T24" s="8">
        <v>5281</v>
      </c>
      <c r="U24" s="8">
        <v>12509</v>
      </c>
      <c r="V24" s="8">
        <v>16988</v>
      </c>
      <c r="W24" s="8">
        <v>13277</v>
      </c>
      <c r="X24" s="8">
        <v>18218</v>
      </c>
      <c r="Y24" s="8">
        <v>19932</v>
      </c>
      <c r="Z24" s="8">
        <v>16473</v>
      </c>
      <c r="AA24" s="8">
        <v>31367</v>
      </c>
      <c r="AB24" s="20">
        <v>137529</v>
      </c>
      <c r="AC24" s="8">
        <v>14957</v>
      </c>
      <c r="AD24" s="8">
        <v>11265</v>
      </c>
      <c r="AE24" s="8">
        <v>19018</v>
      </c>
      <c r="AF24" s="8">
        <v>18547</v>
      </c>
      <c r="AG24" s="8">
        <v>15001</v>
      </c>
      <c r="AH24" s="8">
        <v>26345</v>
      </c>
      <c r="AI24" s="8">
        <v>17619</v>
      </c>
      <c r="AJ24" s="8">
        <v>19237</v>
      </c>
      <c r="AK24" s="8">
        <v>20542</v>
      </c>
      <c r="AL24" s="8">
        <v>16838</v>
      </c>
      <c r="AM24" s="8">
        <v>16544</v>
      </c>
      <c r="AN24" s="8">
        <v>26205</v>
      </c>
      <c r="AO24" s="20">
        <v>222118</v>
      </c>
      <c r="AP24" s="8">
        <v>11442</v>
      </c>
      <c r="AQ24" s="8">
        <v>18432</v>
      </c>
      <c r="AR24" s="8">
        <v>20741</v>
      </c>
      <c r="AS24" s="8">
        <v>14202</v>
      </c>
      <c r="AT24" s="8">
        <v>14974</v>
      </c>
      <c r="AU24" s="8">
        <v>22829</v>
      </c>
      <c r="AV24" s="8">
        <v>16210</v>
      </c>
      <c r="AW24" s="8">
        <v>20655</v>
      </c>
      <c r="AX24" s="8">
        <v>16058</v>
      </c>
      <c r="AY24" s="8">
        <v>15916</v>
      </c>
      <c r="AZ24" s="8">
        <v>14933</v>
      </c>
      <c r="BA24" s="8">
        <v>22213</v>
      </c>
      <c r="BB24" s="20">
        <v>208605</v>
      </c>
      <c r="BC24" s="8">
        <v>15791</v>
      </c>
      <c r="BD24" s="8">
        <v>9815</v>
      </c>
      <c r="BE24" s="8">
        <v>17619</v>
      </c>
      <c r="BF24" s="8">
        <v>15254</v>
      </c>
      <c r="BG24" s="8">
        <v>20284</v>
      </c>
      <c r="BH24" s="8">
        <v>32073</v>
      </c>
      <c r="BI24" s="8">
        <v>21939</v>
      </c>
      <c r="BJ24" s="8">
        <v>24930</v>
      </c>
      <c r="BK24" s="8">
        <v>20974</v>
      </c>
      <c r="BL24" s="8">
        <v>22633</v>
      </c>
      <c r="BM24" s="8">
        <v>16867</v>
      </c>
      <c r="BN24" s="8">
        <v>35187</v>
      </c>
      <c r="BO24" s="20">
        <v>253366</v>
      </c>
      <c r="BP24" s="20">
        <f t="shared" si="0"/>
        <v>821877</v>
      </c>
    </row>
    <row r="25" spans="1:68" x14ac:dyDescent="0.2">
      <c r="A25" s="3">
        <v>19</v>
      </c>
      <c r="B25" t="s">
        <v>34</v>
      </c>
      <c r="C25" s="8">
        <v>0</v>
      </c>
      <c r="D25" s="8">
        <v>0</v>
      </c>
      <c r="E25" s="8">
        <v>0</v>
      </c>
      <c r="F25" s="8">
        <v>0</v>
      </c>
      <c r="G25" s="8">
        <v>0</v>
      </c>
      <c r="H25" s="8">
        <v>0</v>
      </c>
      <c r="I25" s="8">
        <v>0</v>
      </c>
      <c r="J25" s="8">
        <v>0</v>
      </c>
      <c r="K25" s="8">
        <v>0</v>
      </c>
      <c r="L25" s="8">
        <v>0</v>
      </c>
      <c r="M25" s="8">
        <v>0</v>
      </c>
      <c r="N25" s="8">
        <v>154</v>
      </c>
      <c r="O25" s="20">
        <v>154</v>
      </c>
      <c r="P25" s="8">
        <v>0</v>
      </c>
      <c r="Q25" s="8">
        <v>4</v>
      </c>
      <c r="R25" s="8">
        <v>1</v>
      </c>
      <c r="S25" s="8">
        <v>660</v>
      </c>
      <c r="T25" s="8">
        <v>1141</v>
      </c>
      <c r="U25" s="8">
        <v>2758</v>
      </c>
      <c r="V25" s="8">
        <v>1965</v>
      </c>
      <c r="W25" s="8">
        <v>2801</v>
      </c>
      <c r="X25" s="8">
        <v>3716</v>
      </c>
      <c r="Y25" s="8">
        <v>3912</v>
      </c>
      <c r="Z25" s="8">
        <v>3117</v>
      </c>
      <c r="AA25" s="8">
        <v>5475</v>
      </c>
      <c r="AB25" s="20">
        <v>25550</v>
      </c>
      <c r="AC25" s="8">
        <v>4973</v>
      </c>
      <c r="AD25" s="8">
        <v>2663</v>
      </c>
      <c r="AE25" s="8">
        <v>4043</v>
      </c>
      <c r="AF25" s="8">
        <v>5324</v>
      </c>
      <c r="AG25" s="8">
        <v>3391</v>
      </c>
      <c r="AH25" s="8">
        <v>6086</v>
      </c>
      <c r="AI25" s="8">
        <v>4010</v>
      </c>
      <c r="AJ25" s="8">
        <v>4222</v>
      </c>
      <c r="AK25" s="8">
        <v>4827</v>
      </c>
      <c r="AL25" s="8">
        <v>5065</v>
      </c>
      <c r="AM25" s="8">
        <v>5912</v>
      </c>
      <c r="AN25" s="8">
        <v>7022</v>
      </c>
      <c r="AO25" s="20">
        <v>57538</v>
      </c>
      <c r="AP25" s="8">
        <v>2803</v>
      </c>
      <c r="AQ25" s="8">
        <v>5921</v>
      </c>
      <c r="AR25" s="8">
        <v>4868</v>
      </c>
      <c r="AS25" s="8">
        <v>2614</v>
      </c>
      <c r="AT25" s="8">
        <v>3904</v>
      </c>
      <c r="AU25" s="8">
        <v>6135</v>
      </c>
      <c r="AV25" s="8">
        <v>3573</v>
      </c>
      <c r="AW25" s="8">
        <v>5948</v>
      </c>
      <c r="AX25" s="8">
        <v>4898</v>
      </c>
      <c r="AY25" s="8">
        <v>4632</v>
      </c>
      <c r="AZ25" s="8">
        <v>4388</v>
      </c>
      <c r="BA25" s="8">
        <v>5788</v>
      </c>
      <c r="BB25" s="20">
        <v>55472</v>
      </c>
      <c r="BC25" s="8">
        <v>5583</v>
      </c>
      <c r="BD25" s="8">
        <v>4095</v>
      </c>
      <c r="BE25" s="8">
        <v>5218</v>
      </c>
      <c r="BF25" s="8">
        <v>4995</v>
      </c>
      <c r="BG25" s="8">
        <v>6071</v>
      </c>
      <c r="BH25" s="8">
        <v>6603</v>
      </c>
      <c r="BI25" s="8">
        <v>4620</v>
      </c>
      <c r="BJ25" s="8">
        <v>4909</v>
      </c>
      <c r="BK25" s="8">
        <v>4971</v>
      </c>
      <c r="BL25" s="8">
        <v>5285</v>
      </c>
      <c r="BM25" s="8">
        <v>4880</v>
      </c>
      <c r="BN25" s="8">
        <v>6076</v>
      </c>
      <c r="BO25" s="20">
        <v>63306</v>
      </c>
      <c r="BP25" s="20">
        <f t="shared" si="0"/>
        <v>202020</v>
      </c>
    </row>
    <row r="26" spans="1:68" x14ac:dyDescent="0.2">
      <c r="A26" s="3">
        <v>20</v>
      </c>
      <c r="B26" t="s">
        <v>35</v>
      </c>
      <c r="C26" s="8">
        <v>0</v>
      </c>
      <c r="D26" s="8">
        <v>15</v>
      </c>
      <c r="E26" s="8">
        <v>0</v>
      </c>
      <c r="F26" s="8">
        <v>0</v>
      </c>
      <c r="G26" s="8">
        <v>0</v>
      </c>
      <c r="H26" s="8">
        <v>0</v>
      </c>
      <c r="I26" s="8">
        <v>0</v>
      </c>
      <c r="J26" s="8">
        <v>0</v>
      </c>
      <c r="K26" s="8">
        <v>0</v>
      </c>
      <c r="L26" s="8">
        <v>0</v>
      </c>
      <c r="M26" s="8">
        <v>0</v>
      </c>
      <c r="N26" s="8">
        <v>0</v>
      </c>
      <c r="O26" s="20">
        <v>15</v>
      </c>
      <c r="P26" s="8">
        <v>0</v>
      </c>
      <c r="Q26" s="8">
        <v>0</v>
      </c>
      <c r="R26" s="8">
        <v>0</v>
      </c>
      <c r="S26" s="8">
        <v>0</v>
      </c>
      <c r="T26" s="8">
        <v>659</v>
      </c>
      <c r="U26" s="8">
        <v>2519</v>
      </c>
      <c r="V26" s="8">
        <v>4122</v>
      </c>
      <c r="W26" s="8">
        <v>3139</v>
      </c>
      <c r="X26" s="8">
        <v>4188</v>
      </c>
      <c r="Y26" s="8">
        <v>4085</v>
      </c>
      <c r="Z26" s="8">
        <v>3588</v>
      </c>
      <c r="AA26" s="8">
        <v>6684</v>
      </c>
      <c r="AB26" s="20">
        <v>28984</v>
      </c>
      <c r="AC26" s="8">
        <v>5814</v>
      </c>
      <c r="AD26" s="8">
        <v>4795</v>
      </c>
      <c r="AE26" s="8">
        <v>4835</v>
      </c>
      <c r="AF26" s="8">
        <v>5801</v>
      </c>
      <c r="AG26" s="8">
        <v>3590</v>
      </c>
      <c r="AH26" s="8">
        <v>4734</v>
      </c>
      <c r="AI26" s="8">
        <v>4391</v>
      </c>
      <c r="AJ26" s="8">
        <v>4173</v>
      </c>
      <c r="AK26" s="8">
        <v>4345</v>
      </c>
      <c r="AL26" s="8">
        <v>4298</v>
      </c>
      <c r="AM26" s="8">
        <v>4683</v>
      </c>
      <c r="AN26" s="8">
        <v>6634</v>
      </c>
      <c r="AO26" s="20">
        <v>58093</v>
      </c>
      <c r="AP26" s="8">
        <v>4050</v>
      </c>
      <c r="AQ26" s="8">
        <v>7747</v>
      </c>
      <c r="AR26" s="8">
        <v>5039</v>
      </c>
      <c r="AS26" s="8">
        <v>6899</v>
      </c>
      <c r="AT26" s="8">
        <v>5292</v>
      </c>
      <c r="AU26" s="8">
        <v>6436</v>
      </c>
      <c r="AV26" s="8">
        <v>5476</v>
      </c>
      <c r="AW26" s="8">
        <v>6555</v>
      </c>
      <c r="AX26" s="8">
        <v>6814</v>
      </c>
      <c r="AY26" s="8">
        <v>6770</v>
      </c>
      <c r="AZ26" s="8">
        <v>6911</v>
      </c>
      <c r="BA26" s="8">
        <v>7649</v>
      </c>
      <c r="BB26" s="20">
        <v>75638</v>
      </c>
      <c r="BC26" s="8">
        <v>8038</v>
      </c>
      <c r="BD26" s="8">
        <v>7099</v>
      </c>
      <c r="BE26" s="8">
        <v>5773</v>
      </c>
      <c r="BF26" s="8">
        <v>6137</v>
      </c>
      <c r="BG26" s="8">
        <v>9131</v>
      </c>
      <c r="BH26" s="8">
        <v>9531</v>
      </c>
      <c r="BI26" s="8">
        <v>7927</v>
      </c>
      <c r="BJ26" s="8">
        <v>8272</v>
      </c>
      <c r="BK26" s="8">
        <v>8364</v>
      </c>
      <c r="BL26" s="8">
        <v>8541</v>
      </c>
      <c r="BM26" s="8">
        <v>7938</v>
      </c>
      <c r="BN26" s="8">
        <v>10212</v>
      </c>
      <c r="BO26" s="20">
        <v>96963</v>
      </c>
      <c r="BP26" s="20">
        <f t="shared" si="0"/>
        <v>259693</v>
      </c>
    </row>
    <row r="27" spans="1:68" x14ac:dyDescent="0.2">
      <c r="A27" s="3">
        <v>21</v>
      </c>
      <c r="B27" t="s">
        <v>36</v>
      </c>
      <c r="C27" s="8">
        <v>8</v>
      </c>
      <c r="D27" s="8">
        <v>0</v>
      </c>
      <c r="E27" s="8">
        <v>0</v>
      </c>
      <c r="F27" s="8">
        <v>0</v>
      </c>
      <c r="G27" s="8">
        <v>0</v>
      </c>
      <c r="H27" s="8">
        <v>0</v>
      </c>
      <c r="I27" s="8">
        <v>0</v>
      </c>
      <c r="J27" s="8">
        <v>0</v>
      </c>
      <c r="K27" s="8">
        <v>0</v>
      </c>
      <c r="L27" s="8">
        <v>0</v>
      </c>
      <c r="M27" s="8">
        <v>0</v>
      </c>
      <c r="N27" s="8">
        <v>0</v>
      </c>
      <c r="O27" s="20">
        <v>8</v>
      </c>
      <c r="P27" s="8">
        <v>3</v>
      </c>
      <c r="Q27" s="8">
        <v>17</v>
      </c>
      <c r="R27" s="8">
        <v>3</v>
      </c>
      <c r="S27" s="8">
        <v>20</v>
      </c>
      <c r="T27" s="8">
        <v>58</v>
      </c>
      <c r="U27" s="8">
        <v>80</v>
      </c>
      <c r="V27" s="8">
        <v>62</v>
      </c>
      <c r="W27" s="8">
        <v>32</v>
      </c>
      <c r="X27" s="8">
        <v>46</v>
      </c>
      <c r="Y27" s="8">
        <v>92</v>
      </c>
      <c r="Z27" s="8">
        <v>373</v>
      </c>
      <c r="AA27" s="8">
        <v>914</v>
      </c>
      <c r="AB27" s="20">
        <v>1700</v>
      </c>
      <c r="AC27" s="8">
        <v>1876</v>
      </c>
      <c r="AD27" s="8">
        <v>6505</v>
      </c>
      <c r="AE27" s="8">
        <v>3738</v>
      </c>
      <c r="AF27" s="8">
        <v>1229</v>
      </c>
      <c r="AG27" s="8">
        <v>21</v>
      </c>
      <c r="AH27" s="8">
        <v>71</v>
      </c>
      <c r="AI27" s="8">
        <v>81</v>
      </c>
      <c r="AJ27" s="8">
        <v>78</v>
      </c>
      <c r="AK27" s="8">
        <v>53</v>
      </c>
      <c r="AL27" s="8">
        <v>2596</v>
      </c>
      <c r="AM27" s="8">
        <v>5632</v>
      </c>
      <c r="AN27" s="8">
        <v>801</v>
      </c>
      <c r="AO27" s="20">
        <v>22681</v>
      </c>
      <c r="AP27" s="8">
        <v>853</v>
      </c>
      <c r="AQ27" s="8">
        <v>879</v>
      </c>
      <c r="AR27" s="8">
        <v>5423</v>
      </c>
      <c r="AS27" s="8">
        <v>324</v>
      </c>
      <c r="AT27" s="8">
        <v>109</v>
      </c>
      <c r="AU27" s="8">
        <v>106</v>
      </c>
      <c r="AV27" s="8">
        <v>95</v>
      </c>
      <c r="AW27" s="8">
        <v>3100</v>
      </c>
      <c r="AX27" s="8">
        <v>2061</v>
      </c>
      <c r="AY27" s="8">
        <v>5019</v>
      </c>
      <c r="AZ27" s="8">
        <v>186</v>
      </c>
      <c r="BA27" s="8">
        <v>53</v>
      </c>
      <c r="BB27" s="20">
        <v>18208</v>
      </c>
      <c r="BC27" s="8">
        <v>976</v>
      </c>
      <c r="BD27" s="8">
        <v>2219</v>
      </c>
      <c r="BE27" s="8">
        <v>6154</v>
      </c>
      <c r="BF27" s="8">
        <v>3906</v>
      </c>
      <c r="BG27" s="8">
        <v>158</v>
      </c>
      <c r="BH27" s="8">
        <v>124</v>
      </c>
      <c r="BI27" s="8">
        <v>39</v>
      </c>
      <c r="BJ27" s="8">
        <v>27</v>
      </c>
      <c r="BK27" s="8">
        <v>667</v>
      </c>
      <c r="BL27" s="8">
        <v>7</v>
      </c>
      <c r="BM27" s="8">
        <v>6857</v>
      </c>
      <c r="BN27" s="8">
        <v>6844</v>
      </c>
      <c r="BO27" s="20">
        <v>27978</v>
      </c>
      <c r="BP27" s="20">
        <f t="shared" si="0"/>
        <v>70575</v>
      </c>
    </row>
    <row r="28" spans="1:68" x14ac:dyDescent="0.2">
      <c r="A28" s="3">
        <v>22</v>
      </c>
      <c r="B28" t="s">
        <v>37</v>
      </c>
      <c r="C28" s="8" t="s">
        <v>38</v>
      </c>
      <c r="D28" s="8" t="s">
        <v>38</v>
      </c>
      <c r="E28" s="8" t="s">
        <v>38</v>
      </c>
      <c r="F28" s="8" t="s">
        <v>38</v>
      </c>
      <c r="G28" s="8" t="s">
        <v>38</v>
      </c>
      <c r="H28" s="8" t="s">
        <v>38</v>
      </c>
      <c r="I28" s="8" t="s">
        <v>38</v>
      </c>
      <c r="J28" s="8" t="s">
        <v>38</v>
      </c>
      <c r="K28" s="8" t="s">
        <v>38</v>
      </c>
      <c r="L28" s="8" t="s">
        <v>38</v>
      </c>
      <c r="M28" s="8" t="s">
        <v>38</v>
      </c>
      <c r="N28" s="8" t="s">
        <v>38</v>
      </c>
      <c r="O28" s="20">
        <v>0</v>
      </c>
      <c r="P28" s="8" t="s">
        <v>38</v>
      </c>
      <c r="Q28" s="8" t="s">
        <v>38</v>
      </c>
      <c r="R28" s="8" t="s">
        <v>38</v>
      </c>
      <c r="S28" s="8" t="s">
        <v>38</v>
      </c>
      <c r="T28" s="8" t="s">
        <v>38</v>
      </c>
      <c r="U28" s="8" t="s">
        <v>38</v>
      </c>
      <c r="V28" s="8" t="s">
        <v>38</v>
      </c>
      <c r="W28" s="8" t="s">
        <v>38</v>
      </c>
      <c r="X28" s="8" t="s">
        <v>38</v>
      </c>
      <c r="Y28" s="8" t="s">
        <v>38</v>
      </c>
      <c r="Z28" s="8" t="s">
        <v>38</v>
      </c>
      <c r="AA28" s="8" t="s">
        <v>38</v>
      </c>
      <c r="AB28" s="20" t="s">
        <v>38</v>
      </c>
      <c r="AC28" s="8" t="s">
        <v>38</v>
      </c>
      <c r="AD28" s="8" t="s">
        <v>38</v>
      </c>
      <c r="AE28" s="8" t="s">
        <v>38</v>
      </c>
      <c r="AF28" s="8" t="s">
        <v>38</v>
      </c>
      <c r="AG28" s="8" t="s">
        <v>38</v>
      </c>
      <c r="AH28" s="8" t="s">
        <v>38</v>
      </c>
      <c r="AI28" s="8" t="s">
        <v>38</v>
      </c>
      <c r="AJ28" s="8" t="s">
        <v>38</v>
      </c>
      <c r="AK28" s="8" t="s">
        <v>38</v>
      </c>
      <c r="AL28" s="8" t="s">
        <v>38</v>
      </c>
      <c r="AM28" s="8" t="s">
        <v>38</v>
      </c>
      <c r="AN28" s="8" t="s">
        <v>38</v>
      </c>
      <c r="AO28" s="20" t="s">
        <v>38</v>
      </c>
      <c r="AP28" s="8">
        <v>0</v>
      </c>
      <c r="AQ28" s="8">
        <v>0</v>
      </c>
      <c r="AR28" s="8">
        <v>0</v>
      </c>
      <c r="AS28" s="8">
        <v>0</v>
      </c>
      <c r="AT28" s="8">
        <v>0</v>
      </c>
      <c r="AU28" s="8">
        <v>0</v>
      </c>
      <c r="AV28" s="8">
        <v>0</v>
      </c>
      <c r="AW28" s="8">
        <v>0</v>
      </c>
      <c r="AX28" s="8">
        <v>0</v>
      </c>
      <c r="AY28" s="8">
        <v>0</v>
      </c>
      <c r="AZ28" s="8">
        <v>565</v>
      </c>
      <c r="BA28" s="8">
        <v>1302</v>
      </c>
      <c r="BB28" s="20">
        <v>1867</v>
      </c>
      <c r="BC28" s="8">
        <v>640</v>
      </c>
      <c r="BD28" s="8">
        <v>0</v>
      </c>
      <c r="BE28" s="8">
        <v>1129</v>
      </c>
      <c r="BF28" s="8">
        <v>535</v>
      </c>
      <c r="BG28" s="8">
        <v>0</v>
      </c>
      <c r="BH28" s="8">
        <v>619</v>
      </c>
      <c r="BI28" s="8">
        <v>0</v>
      </c>
      <c r="BJ28" s="8">
        <v>0</v>
      </c>
      <c r="BK28" s="8">
        <v>0</v>
      </c>
      <c r="BL28" s="8">
        <v>0</v>
      </c>
      <c r="BM28" s="8">
        <v>1722</v>
      </c>
      <c r="BN28" s="8">
        <v>0</v>
      </c>
      <c r="BO28" s="20">
        <v>4645</v>
      </c>
      <c r="BP28" s="20">
        <f t="shared" si="0"/>
        <v>6512</v>
      </c>
    </row>
    <row r="29" spans="1:68" x14ac:dyDescent="0.2">
      <c r="A29" s="3">
        <v>23</v>
      </c>
      <c r="B29" t="s">
        <v>39</v>
      </c>
      <c r="C29" s="8">
        <v>37399</v>
      </c>
      <c r="D29" s="8">
        <v>29128</v>
      </c>
      <c r="E29" s="8">
        <v>34893</v>
      </c>
      <c r="F29" s="8">
        <v>30717</v>
      </c>
      <c r="G29" s="8">
        <v>39455</v>
      </c>
      <c r="H29" s="8">
        <v>29659</v>
      </c>
      <c r="I29" s="8">
        <v>35358</v>
      </c>
      <c r="J29" s="8">
        <v>33348</v>
      </c>
      <c r="K29" s="8">
        <v>33268</v>
      </c>
      <c r="L29" s="8">
        <v>38087</v>
      </c>
      <c r="M29" s="8">
        <v>32456</v>
      </c>
      <c r="N29" s="8">
        <v>38686</v>
      </c>
      <c r="O29" s="20">
        <v>412454</v>
      </c>
      <c r="P29" s="8">
        <v>58111</v>
      </c>
      <c r="Q29" s="8">
        <v>51158</v>
      </c>
      <c r="R29" s="8">
        <v>58991</v>
      </c>
      <c r="S29" s="8">
        <v>57271</v>
      </c>
      <c r="T29" s="8">
        <v>81839</v>
      </c>
      <c r="U29" s="8">
        <v>77149</v>
      </c>
      <c r="V29" s="8">
        <v>104446</v>
      </c>
      <c r="W29" s="8">
        <v>85919</v>
      </c>
      <c r="X29" s="8">
        <v>92519</v>
      </c>
      <c r="Y29" s="8">
        <v>101617</v>
      </c>
      <c r="Z29" s="8">
        <v>90127</v>
      </c>
      <c r="AA29" s="8">
        <v>111006</v>
      </c>
      <c r="AB29" s="20">
        <v>970153</v>
      </c>
      <c r="AC29" s="8">
        <v>103450</v>
      </c>
      <c r="AD29" s="8">
        <v>92745</v>
      </c>
      <c r="AE29" s="8">
        <v>107507</v>
      </c>
      <c r="AF29" s="8">
        <v>115983</v>
      </c>
      <c r="AG29" s="8">
        <v>115746</v>
      </c>
      <c r="AH29" s="8">
        <v>105187</v>
      </c>
      <c r="AI29" s="8">
        <v>104632</v>
      </c>
      <c r="AJ29" s="8">
        <v>97888</v>
      </c>
      <c r="AK29" s="8">
        <v>81533</v>
      </c>
      <c r="AL29" s="8">
        <v>77718</v>
      </c>
      <c r="AM29" s="8">
        <v>53990</v>
      </c>
      <c r="AN29" s="8">
        <v>101883</v>
      </c>
      <c r="AO29" s="20">
        <v>1158262</v>
      </c>
      <c r="AP29" s="8">
        <v>101088</v>
      </c>
      <c r="AQ29" s="8">
        <v>94981</v>
      </c>
      <c r="AR29" s="8">
        <v>111751</v>
      </c>
      <c r="AS29" s="8">
        <v>109003</v>
      </c>
      <c r="AT29" s="8">
        <v>89035</v>
      </c>
      <c r="AU29" s="8">
        <v>94945</v>
      </c>
      <c r="AV29" s="8">
        <v>86784</v>
      </c>
      <c r="AW29" s="8">
        <v>92950</v>
      </c>
      <c r="AX29" s="8">
        <v>87235</v>
      </c>
      <c r="AY29" s="8">
        <v>76419</v>
      </c>
      <c r="AZ29" s="8">
        <v>85004</v>
      </c>
      <c r="BA29" s="8">
        <v>69742</v>
      </c>
      <c r="BB29" s="20">
        <v>1098896</v>
      </c>
      <c r="BC29" s="8">
        <v>78016</v>
      </c>
      <c r="BD29" s="8">
        <v>76731</v>
      </c>
      <c r="BE29" s="8">
        <v>71092</v>
      </c>
      <c r="BF29" s="8">
        <v>70466</v>
      </c>
      <c r="BG29" s="8">
        <v>69034</v>
      </c>
      <c r="BH29" s="8">
        <v>92642</v>
      </c>
      <c r="BI29" s="8">
        <v>86587</v>
      </c>
      <c r="BJ29" s="8">
        <v>80204</v>
      </c>
      <c r="BK29" s="8">
        <v>89644</v>
      </c>
      <c r="BL29" s="8">
        <v>86223</v>
      </c>
      <c r="BM29" s="8">
        <v>86399</v>
      </c>
      <c r="BN29" s="8">
        <v>101794</v>
      </c>
      <c r="BO29" s="20">
        <v>988832</v>
      </c>
      <c r="BP29" s="20">
        <f t="shared" si="0"/>
        <v>4628597</v>
      </c>
    </row>
    <row r="30" spans="1:68" s="2" customFormat="1" x14ac:dyDescent="0.2">
      <c r="A30" s="3" t="s">
        <v>301</v>
      </c>
      <c r="B30" s="2" t="s">
        <v>40</v>
      </c>
      <c r="C30" s="20">
        <v>87117</v>
      </c>
      <c r="D30" s="20">
        <v>69378</v>
      </c>
      <c r="E30" s="20">
        <v>71810</v>
      </c>
      <c r="F30" s="20">
        <v>63512</v>
      </c>
      <c r="G30" s="20">
        <v>85673</v>
      </c>
      <c r="H30" s="20">
        <v>80681</v>
      </c>
      <c r="I30" s="20">
        <v>84563</v>
      </c>
      <c r="J30" s="20">
        <v>83427</v>
      </c>
      <c r="K30" s="20">
        <v>81955</v>
      </c>
      <c r="L30" s="20">
        <v>92170</v>
      </c>
      <c r="M30" s="20">
        <v>97927</v>
      </c>
      <c r="N30" s="20">
        <v>106603</v>
      </c>
      <c r="O30" s="20">
        <v>1004816</v>
      </c>
      <c r="P30" s="20">
        <v>63301</v>
      </c>
      <c r="Q30" s="20">
        <v>48136</v>
      </c>
      <c r="R30" s="20">
        <v>59210</v>
      </c>
      <c r="S30" s="20">
        <v>63590</v>
      </c>
      <c r="T30" s="20">
        <v>65371</v>
      </c>
      <c r="U30" s="20">
        <v>68737</v>
      </c>
      <c r="V30" s="20">
        <v>73744</v>
      </c>
      <c r="W30" s="20">
        <v>83091</v>
      </c>
      <c r="X30" s="20">
        <v>79740</v>
      </c>
      <c r="Y30" s="20">
        <v>79764</v>
      </c>
      <c r="Z30" s="20">
        <v>80910</v>
      </c>
      <c r="AA30" s="20">
        <v>100575</v>
      </c>
      <c r="AB30" s="20">
        <v>866169</v>
      </c>
      <c r="AC30" s="20">
        <v>89121</v>
      </c>
      <c r="AD30" s="20">
        <v>70924</v>
      </c>
      <c r="AE30" s="20">
        <v>78398</v>
      </c>
      <c r="AF30" s="20">
        <v>69717</v>
      </c>
      <c r="AG30" s="20">
        <v>80323</v>
      </c>
      <c r="AH30" s="20">
        <v>79276</v>
      </c>
      <c r="AI30" s="20">
        <v>76587</v>
      </c>
      <c r="AJ30" s="20">
        <v>85993</v>
      </c>
      <c r="AK30" s="20">
        <v>79938</v>
      </c>
      <c r="AL30" s="20">
        <v>84774</v>
      </c>
      <c r="AM30" s="20">
        <v>84260</v>
      </c>
      <c r="AN30" s="20">
        <v>121486</v>
      </c>
      <c r="AO30" s="20">
        <v>1000797</v>
      </c>
      <c r="AP30" s="20">
        <v>97713</v>
      </c>
      <c r="AQ30" s="20">
        <v>87359</v>
      </c>
      <c r="AR30" s="20">
        <v>107409</v>
      </c>
      <c r="AS30" s="20">
        <v>105157</v>
      </c>
      <c r="AT30" s="20">
        <v>97059</v>
      </c>
      <c r="AU30" s="20">
        <v>115122</v>
      </c>
      <c r="AV30" s="20">
        <v>103740</v>
      </c>
      <c r="AW30" s="20">
        <v>103641</v>
      </c>
      <c r="AX30" s="20">
        <v>105607</v>
      </c>
      <c r="AY30" s="20">
        <v>115500</v>
      </c>
      <c r="AZ30" s="20">
        <v>111802</v>
      </c>
      <c r="BA30" s="20">
        <v>131073</v>
      </c>
      <c r="BB30" s="20">
        <v>1281223</v>
      </c>
      <c r="BC30" s="20">
        <v>122131</v>
      </c>
      <c r="BD30" s="20">
        <v>100835</v>
      </c>
      <c r="BE30" s="20">
        <v>108893</v>
      </c>
      <c r="BF30" s="20">
        <v>109233</v>
      </c>
      <c r="BG30" s="20">
        <v>120739</v>
      </c>
      <c r="BH30" s="20">
        <v>130352</v>
      </c>
      <c r="BI30" s="20">
        <v>137128</v>
      </c>
      <c r="BJ30" s="20">
        <v>134047</v>
      </c>
      <c r="BK30" s="20">
        <v>133699</v>
      </c>
      <c r="BL30" s="20">
        <v>134653</v>
      </c>
      <c r="BM30" s="20">
        <v>143179</v>
      </c>
      <c r="BN30" s="20">
        <v>163619</v>
      </c>
      <c r="BO30" s="20">
        <v>1538508</v>
      </c>
      <c r="BP30" s="20"/>
    </row>
    <row r="31" spans="1:68" x14ac:dyDescent="0.2">
      <c r="A31" s="3">
        <v>24</v>
      </c>
      <c r="B31" t="s">
        <v>41</v>
      </c>
      <c r="C31" s="8">
        <v>2</v>
      </c>
      <c r="D31" s="8">
        <v>2</v>
      </c>
      <c r="E31" s="8">
        <v>0</v>
      </c>
      <c r="F31" s="8">
        <v>3</v>
      </c>
      <c r="G31" s="8">
        <v>0</v>
      </c>
      <c r="H31" s="8">
        <v>0</v>
      </c>
      <c r="I31" s="8">
        <v>0</v>
      </c>
      <c r="J31" s="8">
        <v>0</v>
      </c>
      <c r="K31" s="8">
        <v>3</v>
      </c>
      <c r="L31" s="8">
        <v>0</v>
      </c>
      <c r="M31" s="8">
        <v>0</v>
      </c>
      <c r="N31" s="8">
        <v>3</v>
      </c>
      <c r="O31" s="20">
        <v>13</v>
      </c>
      <c r="P31" s="8">
        <v>0</v>
      </c>
      <c r="Q31" s="8">
        <v>0</v>
      </c>
      <c r="R31" s="8">
        <v>0</v>
      </c>
      <c r="S31" s="8">
        <v>20</v>
      </c>
      <c r="T31" s="8">
        <v>0</v>
      </c>
      <c r="U31" s="8">
        <v>0</v>
      </c>
      <c r="V31" s="8">
        <v>0</v>
      </c>
      <c r="W31" s="8">
        <v>0</v>
      </c>
      <c r="X31" s="8">
        <v>0</v>
      </c>
      <c r="Y31" s="8">
        <v>78</v>
      </c>
      <c r="Z31" s="8">
        <v>166</v>
      </c>
      <c r="AA31" s="8">
        <v>184</v>
      </c>
      <c r="AB31" s="20">
        <v>448</v>
      </c>
      <c r="AC31" s="8">
        <v>132</v>
      </c>
      <c r="AD31" s="8">
        <v>86</v>
      </c>
      <c r="AE31" s="8">
        <v>106</v>
      </c>
      <c r="AF31" s="8">
        <v>91</v>
      </c>
      <c r="AG31" s="8">
        <v>8251</v>
      </c>
      <c r="AH31" s="8">
        <v>9933</v>
      </c>
      <c r="AI31" s="8">
        <v>7723</v>
      </c>
      <c r="AJ31" s="8">
        <v>8335</v>
      </c>
      <c r="AK31" s="8">
        <v>8408</v>
      </c>
      <c r="AL31" s="8">
        <v>9174</v>
      </c>
      <c r="AM31" s="8">
        <v>3729</v>
      </c>
      <c r="AN31" s="8">
        <v>11445</v>
      </c>
      <c r="AO31" s="20">
        <v>67413</v>
      </c>
      <c r="AP31" s="8">
        <v>8254</v>
      </c>
      <c r="AQ31" s="8">
        <v>6903</v>
      </c>
      <c r="AR31" s="8">
        <v>6515</v>
      </c>
      <c r="AS31" s="8">
        <v>7129</v>
      </c>
      <c r="AT31" s="8">
        <v>7305</v>
      </c>
      <c r="AU31" s="8">
        <v>8577</v>
      </c>
      <c r="AV31" s="8">
        <v>8544</v>
      </c>
      <c r="AW31" s="8">
        <v>9481</v>
      </c>
      <c r="AX31" s="8">
        <v>11649</v>
      </c>
      <c r="AY31" s="8">
        <v>10715</v>
      </c>
      <c r="AZ31" s="8">
        <v>11188</v>
      </c>
      <c r="BA31" s="8">
        <v>14613</v>
      </c>
      <c r="BB31" s="20">
        <v>110873</v>
      </c>
      <c r="BC31" s="8">
        <v>12617</v>
      </c>
      <c r="BD31" s="8">
        <v>11015</v>
      </c>
      <c r="BE31" s="8">
        <v>5943</v>
      </c>
      <c r="BF31" s="8">
        <v>9296</v>
      </c>
      <c r="BG31" s="8">
        <v>9107</v>
      </c>
      <c r="BH31" s="8">
        <v>10569</v>
      </c>
      <c r="BI31" s="8">
        <v>11553</v>
      </c>
      <c r="BJ31" s="8">
        <v>10344</v>
      </c>
      <c r="BK31" s="8">
        <v>12494</v>
      </c>
      <c r="BL31" s="8">
        <v>11274</v>
      </c>
      <c r="BM31" s="8">
        <v>11230</v>
      </c>
      <c r="BN31" s="8">
        <v>17405</v>
      </c>
      <c r="BO31" s="20">
        <v>132847</v>
      </c>
      <c r="BP31" s="20">
        <f t="shared" si="0"/>
        <v>311594</v>
      </c>
    </row>
    <row r="32" spans="1:68" x14ac:dyDescent="0.2">
      <c r="A32" s="3">
        <v>25</v>
      </c>
      <c r="B32" t="s">
        <v>42</v>
      </c>
      <c r="C32" s="8">
        <v>4</v>
      </c>
      <c r="D32" s="8">
        <v>26</v>
      </c>
      <c r="E32" s="8">
        <v>0</v>
      </c>
      <c r="F32" s="8">
        <v>3</v>
      </c>
      <c r="G32" s="8">
        <v>13</v>
      </c>
      <c r="H32" s="8">
        <v>152</v>
      </c>
      <c r="I32" s="8">
        <v>12</v>
      </c>
      <c r="J32" s="8">
        <v>12</v>
      </c>
      <c r="K32" s="8">
        <v>73</v>
      </c>
      <c r="L32" s="8">
        <v>64</v>
      </c>
      <c r="M32" s="8">
        <v>142</v>
      </c>
      <c r="N32" s="8">
        <v>184</v>
      </c>
      <c r="O32" s="20">
        <v>685</v>
      </c>
      <c r="P32" s="8">
        <v>234</v>
      </c>
      <c r="Q32" s="8">
        <v>226</v>
      </c>
      <c r="R32" s="8">
        <v>317</v>
      </c>
      <c r="S32" s="8">
        <v>737</v>
      </c>
      <c r="T32" s="8">
        <v>1203</v>
      </c>
      <c r="U32" s="8">
        <v>1792</v>
      </c>
      <c r="V32" s="8">
        <v>1149</v>
      </c>
      <c r="W32" s="8">
        <v>3120</v>
      </c>
      <c r="X32" s="8">
        <v>2672</v>
      </c>
      <c r="Y32" s="8">
        <v>2646</v>
      </c>
      <c r="Z32" s="8">
        <v>2511</v>
      </c>
      <c r="AA32" s="8">
        <v>4300</v>
      </c>
      <c r="AB32" s="20">
        <v>20907</v>
      </c>
      <c r="AC32" s="8">
        <v>2514</v>
      </c>
      <c r="AD32" s="8">
        <v>4212</v>
      </c>
      <c r="AE32" s="8">
        <v>7016</v>
      </c>
      <c r="AF32" s="8">
        <v>7322</v>
      </c>
      <c r="AG32" s="8">
        <v>6651</v>
      </c>
      <c r="AH32" s="8">
        <v>8267</v>
      </c>
      <c r="AI32" s="8">
        <v>8198</v>
      </c>
      <c r="AJ32" s="8">
        <v>11895</v>
      </c>
      <c r="AK32" s="8">
        <v>8942</v>
      </c>
      <c r="AL32" s="8">
        <v>9700</v>
      </c>
      <c r="AM32" s="8">
        <v>8838</v>
      </c>
      <c r="AN32" s="8">
        <v>12678</v>
      </c>
      <c r="AO32" s="20">
        <v>96233</v>
      </c>
      <c r="AP32" s="8">
        <v>8426</v>
      </c>
      <c r="AQ32" s="8">
        <v>7423</v>
      </c>
      <c r="AR32" s="8">
        <v>8958</v>
      </c>
      <c r="AS32" s="8">
        <v>9209</v>
      </c>
      <c r="AT32" s="8">
        <v>9670</v>
      </c>
      <c r="AU32" s="8">
        <v>11141</v>
      </c>
      <c r="AV32" s="8">
        <v>11847</v>
      </c>
      <c r="AW32" s="8">
        <v>10029</v>
      </c>
      <c r="AX32" s="8">
        <v>8384</v>
      </c>
      <c r="AY32" s="8">
        <v>13025</v>
      </c>
      <c r="AZ32" s="8">
        <v>16360</v>
      </c>
      <c r="BA32" s="8">
        <v>18751</v>
      </c>
      <c r="BB32" s="20">
        <v>133223</v>
      </c>
      <c r="BC32" s="8">
        <v>11445</v>
      </c>
      <c r="BD32" s="8">
        <v>10244</v>
      </c>
      <c r="BE32" s="8">
        <v>13058</v>
      </c>
      <c r="BF32" s="8">
        <v>14292</v>
      </c>
      <c r="BG32" s="8">
        <v>15441</v>
      </c>
      <c r="BH32" s="8">
        <v>17380</v>
      </c>
      <c r="BI32" s="8">
        <v>21031</v>
      </c>
      <c r="BJ32" s="8">
        <v>20318</v>
      </c>
      <c r="BK32" s="8">
        <v>18282</v>
      </c>
      <c r="BL32" s="8">
        <v>21420</v>
      </c>
      <c r="BM32" s="8">
        <v>20476</v>
      </c>
      <c r="BN32" s="8">
        <v>29738</v>
      </c>
      <c r="BO32" s="20">
        <v>213125</v>
      </c>
      <c r="BP32" s="20">
        <f t="shared" si="0"/>
        <v>464173</v>
      </c>
    </row>
    <row r="33" spans="1:68" x14ac:dyDescent="0.2">
      <c r="A33" s="3">
        <v>26</v>
      </c>
      <c r="B33" t="s">
        <v>43</v>
      </c>
      <c r="C33" s="8">
        <v>6</v>
      </c>
      <c r="D33" s="8">
        <v>11</v>
      </c>
      <c r="E33" s="8">
        <v>14</v>
      </c>
      <c r="F33" s="8">
        <v>2</v>
      </c>
      <c r="G33" s="8">
        <v>0</v>
      </c>
      <c r="H33" s="8">
        <v>0</v>
      </c>
      <c r="I33" s="8">
        <v>1</v>
      </c>
      <c r="J33" s="8">
        <v>0</v>
      </c>
      <c r="K33" s="8">
        <v>0</v>
      </c>
      <c r="L33" s="8">
        <v>0</v>
      </c>
      <c r="M33" s="8">
        <v>2</v>
      </c>
      <c r="N33" s="8">
        <v>10</v>
      </c>
      <c r="O33" s="20">
        <v>46</v>
      </c>
      <c r="P33" s="8">
        <v>0</v>
      </c>
      <c r="Q33" s="8">
        <v>0</v>
      </c>
      <c r="R33" s="8">
        <v>2</v>
      </c>
      <c r="S33" s="8">
        <v>254</v>
      </c>
      <c r="T33" s="8">
        <v>556</v>
      </c>
      <c r="U33" s="8">
        <v>789</v>
      </c>
      <c r="V33" s="8">
        <v>646</v>
      </c>
      <c r="W33" s="8">
        <v>745</v>
      </c>
      <c r="X33" s="8">
        <v>1360</v>
      </c>
      <c r="Y33" s="8">
        <v>1804</v>
      </c>
      <c r="Z33" s="8">
        <v>1771</v>
      </c>
      <c r="AA33" s="8">
        <v>3877</v>
      </c>
      <c r="AB33" s="20">
        <v>11804</v>
      </c>
      <c r="AC33" s="8">
        <v>2508</v>
      </c>
      <c r="AD33" s="8">
        <v>2725</v>
      </c>
      <c r="AE33" s="8">
        <v>2905</v>
      </c>
      <c r="AF33" s="8">
        <v>2929</v>
      </c>
      <c r="AG33" s="8">
        <v>2856</v>
      </c>
      <c r="AH33" s="8">
        <v>2819</v>
      </c>
      <c r="AI33" s="8">
        <v>2639</v>
      </c>
      <c r="AJ33" s="8">
        <v>3488</v>
      </c>
      <c r="AK33" s="8">
        <v>2418</v>
      </c>
      <c r="AL33" s="8">
        <v>2274</v>
      </c>
      <c r="AM33" s="8">
        <v>2364</v>
      </c>
      <c r="AN33" s="8">
        <v>4522</v>
      </c>
      <c r="AO33" s="20">
        <v>34447</v>
      </c>
      <c r="AP33" s="8">
        <v>2366</v>
      </c>
      <c r="AQ33" s="8">
        <v>4380</v>
      </c>
      <c r="AR33" s="8">
        <v>2540</v>
      </c>
      <c r="AS33" s="8">
        <v>4042</v>
      </c>
      <c r="AT33" s="8">
        <v>3737</v>
      </c>
      <c r="AU33" s="8">
        <v>2819</v>
      </c>
      <c r="AV33" s="8">
        <v>3204</v>
      </c>
      <c r="AW33" s="8">
        <v>3191</v>
      </c>
      <c r="AX33" s="8">
        <v>4256</v>
      </c>
      <c r="AY33" s="8">
        <v>3331</v>
      </c>
      <c r="AZ33" s="8">
        <v>2797</v>
      </c>
      <c r="BA33" s="8">
        <v>5017</v>
      </c>
      <c r="BB33" s="20">
        <v>41680</v>
      </c>
      <c r="BC33" s="8">
        <v>4130</v>
      </c>
      <c r="BD33" s="8">
        <v>3482</v>
      </c>
      <c r="BE33" s="8">
        <v>2923</v>
      </c>
      <c r="BF33" s="8">
        <v>2719</v>
      </c>
      <c r="BG33" s="8">
        <v>5321</v>
      </c>
      <c r="BH33" s="8">
        <v>4734</v>
      </c>
      <c r="BI33" s="8">
        <v>3534</v>
      </c>
      <c r="BJ33" s="8">
        <v>3803</v>
      </c>
      <c r="BK33" s="8">
        <v>4446</v>
      </c>
      <c r="BL33" s="8">
        <v>3135</v>
      </c>
      <c r="BM33" s="8">
        <v>2880</v>
      </c>
      <c r="BN33" s="8">
        <v>5269</v>
      </c>
      <c r="BO33" s="20">
        <v>46376</v>
      </c>
      <c r="BP33" s="20">
        <f t="shared" si="0"/>
        <v>134353</v>
      </c>
    </row>
    <row r="34" spans="1:68" x14ac:dyDescent="0.2">
      <c r="A34" s="3">
        <v>27</v>
      </c>
      <c r="B34" t="s">
        <v>44</v>
      </c>
      <c r="C34" s="8">
        <v>3</v>
      </c>
      <c r="D34" s="8">
        <v>2</v>
      </c>
      <c r="E34" s="8">
        <v>13</v>
      </c>
      <c r="F34" s="8">
        <v>1</v>
      </c>
      <c r="G34" s="8">
        <v>1</v>
      </c>
      <c r="H34" s="8">
        <v>0</v>
      </c>
      <c r="I34" s="8">
        <v>1</v>
      </c>
      <c r="J34" s="8">
        <v>0</v>
      </c>
      <c r="K34" s="8">
        <v>0</v>
      </c>
      <c r="L34" s="8">
        <v>1</v>
      </c>
      <c r="M34" s="8">
        <v>3</v>
      </c>
      <c r="N34" s="8">
        <v>2</v>
      </c>
      <c r="O34" s="20">
        <v>27</v>
      </c>
      <c r="P34" s="8">
        <v>0</v>
      </c>
      <c r="Q34" s="8">
        <v>0</v>
      </c>
      <c r="R34" s="8">
        <v>0</v>
      </c>
      <c r="S34" s="8">
        <v>218</v>
      </c>
      <c r="T34" s="8">
        <v>622</v>
      </c>
      <c r="U34" s="8">
        <v>969</v>
      </c>
      <c r="V34" s="8">
        <v>1792</v>
      </c>
      <c r="W34" s="8">
        <v>1149</v>
      </c>
      <c r="X34" s="8">
        <v>1692</v>
      </c>
      <c r="Y34" s="8">
        <v>2116</v>
      </c>
      <c r="Z34" s="8">
        <v>1197</v>
      </c>
      <c r="AA34" s="8">
        <v>3020</v>
      </c>
      <c r="AB34" s="20">
        <v>12775</v>
      </c>
      <c r="AC34" s="8">
        <v>2542</v>
      </c>
      <c r="AD34" s="8">
        <v>2503</v>
      </c>
      <c r="AE34" s="8">
        <v>2169</v>
      </c>
      <c r="AF34" s="8">
        <v>3592</v>
      </c>
      <c r="AG34" s="8">
        <v>2057</v>
      </c>
      <c r="AH34" s="8">
        <v>2755</v>
      </c>
      <c r="AI34" s="8">
        <v>1832</v>
      </c>
      <c r="AJ34" s="8">
        <v>2653</v>
      </c>
      <c r="AK34" s="8">
        <v>1878</v>
      </c>
      <c r="AL34" s="8">
        <v>1721</v>
      </c>
      <c r="AM34" s="8">
        <v>1790</v>
      </c>
      <c r="AN34" s="8">
        <v>3605</v>
      </c>
      <c r="AO34" s="20">
        <v>29097</v>
      </c>
      <c r="AP34" s="8">
        <v>1733</v>
      </c>
      <c r="AQ34" s="8">
        <v>4433</v>
      </c>
      <c r="AR34" s="8">
        <v>2400</v>
      </c>
      <c r="AS34" s="8">
        <v>3521</v>
      </c>
      <c r="AT34" s="8">
        <v>2225</v>
      </c>
      <c r="AU34" s="8">
        <v>2878</v>
      </c>
      <c r="AV34" s="8">
        <v>2926</v>
      </c>
      <c r="AW34" s="8">
        <v>2819</v>
      </c>
      <c r="AX34" s="8">
        <v>3680</v>
      </c>
      <c r="AY34" s="8">
        <v>2376</v>
      </c>
      <c r="AZ34" s="8">
        <v>2208</v>
      </c>
      <c r="BA34" s="8">
        <v>3787</v>
      </c>
      <c r="BB34" s="20">
        <v>34986</v>
      </c>
      <c r="BC34" s="8">
        <v>3870</v>
      </c>
      <c r="BD34" s="8">
        <v>3482</v>
      </c>
      <c r="BE34" s="8">
        <v>3338</v>
      </c>
      <c r="BF34" s="8">
        <v>2583</v>
      </c>
      <c r="BG34" s="8">
        <v>3746</v>
      </c>
      <c r="BH34" s="8">
        <v>4858</v>
      </c>
      <c r="BI34" s="8">
        <v>2692</v>
      </c>
      <c r="BJ34" s="8">
        <v>2973</v>
      </c>
      <c r="BK34" s="8">
        <v>3921</v>
      </c>
      <c r="BL34" s="8">
        <v>3097</v>
      </c>
      <c r="BM34" s="8">
        <v>2391</v>
      </c>
      <c r="BN34" s="8">
        <v>4038</v>
      </c>
      <c r="BO34" s="20">
        <v>40989</v>
      </c>
      <c r="BP34" s="20">
        <f t="shared" si="0"/>
        <v>117874</v>
      </c>
    </row>
    <row r="35" spans="1:68" x14ac:dyDescent="0.2">
      <c r="A35" s="3">
        <v>28</v>
      </c>
      <c r="B35" t="s">
        <v>45</v>
      </c>
      <c r="C35" s="8">
        <v>0</v>
      </c>
      <c r="D35" s="8">
        <v>0</v>
      </c>
      <c r="E35" s="8">
        <v>0</v>
      </c>
      <c r="F35" s="8">
        <v>0</v>
      </c>
      <c r="G35" s="8">
        <v>0</v>
      </c>
      <c r="H35" s="8">
        <v>0</v>
      </c>
      <c r="I35" s="8">
        <v>0</v>
      </c>
      <c r="J35" s="8">
        <v>0</v>
      </c>
      <c r="K35" s="8">
        <v>0</v>
      </c>
      <c r="L35" s="8">
        <v>0</v>
      </c>
      <c r="M35" s="8">
        <v>0</v>
      </c>
      <c r="N35" s="8">
        <v>0</v>
      </c>
      <c r="O35" s="20">
        <v>0</v>
      </c>
      <c r="P35" s="8">
        <v>0</v>
      </c>
      <c r="Q35" s="8">
        <v>0</v>
      </c>
      <c r="R35" s="8">
        <v>0</v>
      </c>
      <c r="S35" s="8">
        <v>0</v>
      </c>
      <c r="T35" s="8">
        <v>0</v>
      </c>
      <c r="U35" s="8">
        <v>0</v>
      </c>
      <c r="V35" s="8">
        <v>15</v>
      </c>
      <c r="W35" s="8">
        <v>318</v>
      </c>
      <c r="X35" s="8">
        <v>425</v>
      </c>
      <c r="Y35" s="8">
        <v>347</v>
      </c>
      <c r="Z35" s="8">
        <v>291</v>
      </c>
      <c r="AA35" s="8">
        <v>1153</v>
      </c>
      <c r="AB35" s="20">
        <v>2549</v>
      </c>
      <c r="AC35" s="8">
        <v>718</v>
      </c>
      <c r="AD35" s="8">
        <v>615</v>
      </c>
      <c r="AE35" s="8">
        <v>669</v>
      </c>
      <c r="AF35" s="8">
        <v>735</v>
      </c>
      <c r="AG35" s="8">
        <v>1324</v>
      </c>
      <c r="AH35" s="8">
        <v>1045</v>
      </c>
      <c r="AI35" s="8">
        <v>727</v>
      </c>
      <c r="AJ35" s="8">
        <v>628</v>
      </c>
      <c r="AK35" s="8">
        <v>680</v>
      </c>
      <c r="AL35" s="8">
        <v>674</v>
      </c>
      <c r="AM35" s="8">
        <v>724</v>
      </c>
      <c r="AN35" s="8">
        <v>1363</v>
      </c>
      <c r="AO35" s="20">
        <v>9902</v>
      </c>
      <c r="AP35" s="8">
        <v>687</v>
      </c>
      <c r="AQ35" s="8">
        <v>950</v>
      </c>
      <c r="AR35" s="8">
        <v>965</v>
      </c>
      <c r="AS35" s="8">
        <v>486</v>
      </c>
      <c r="AT35" s="8">
        <v>833</v>
      </c>
      <c r="AU35" s="8">
        <v>1028</v>
      </c>
      <c r="AV35" s="8">
        <v>940</v>
      </c>
      <c r="AW35" s="8">
        <v>892</v>
      </c>
      <c r="AX35" s="8">
        <v>1116</v>
      </c>
      <c r="AY35" s="8">
        <v>742</v>
      </c>
      <c r="AZ35" s="8">
        <v>732</v>
      </c>
      <c r="BA35" s="8">
        <v>1493</v>
      </c>
      <c r="BB35" s="20">
        <v>10864</v>
      </c>
      <c r="BC35" s="8">
        <v>1143</v>
      </c>
      <c r="BD35" s="8">
        <v>935</v>
      </c>
      <c r="BE35" s="8">
        <v>974</v>
      </c>
      <c r="BF35" s="8">
        <v>798</v>
      </c>
      <c r="BG35" s="8">
        <v>1716</v>
      </c>
      <c r="BH35" s="8">
        <v>1259</v>
      </c>
      <c r="BI35" s="8">
        <v>1047</v>
      </c>
      <c r="BJ35" s="8">
        <v>1116</v>
      </c>
      <c r="BK35" s="8">
        <v>991</v>
      </c>
      <c r="BL35" s="8">
        <v>918</v>
      </c>
      <c r="BM35" s="8">
        <v>816</v>
      </c>
      <c r="BN35" s="8">
        <v>1782</v>
      </c>
      <c r="BO35" s="20">
        <v>13495</v>
      </c>
      <c r="BP35" s="20">
        <f t="shared" si="0"/>
        <v>36810</v>
      </c>
    </row>
    <row r="36" spans="1:68" x14ac:dyDescent="0.2">
      <c r="A36" s="3">
        <v>29</v>
      </c>
      <c r="B36" t="s">
        <v>46</v>
      </c>
      <c r="C36" s="8">
        <v>87102</v>
      </c>
      <c r="D36" s="8">
        <v>69337</v>
      </c>
      <c r="E36" s="8">
        <v>71783</v>
      </c>
      <c r="F36" s="8">
        <v>63503</v>
      </c>
      <c r="G36" s="8">
        <v>85659</v>
      </c>
      <c r="H36" s="8">
        <v>80529</v>
      </c>
      <c r="I36" s="8">
        <v>84549</v>
      </c>
      <c r="J36" s="8">
        <v>83415</v>
      </c>
      <c r="K36" s="8">
        <v>81879</v>
      </c>
      <c r="L36" s="8">
        <v>92105</v>
      </c>
      <c r="M36" s="8">
        <v>97780</v>
      </c>
      <c r="N36" s="8">
        <v>106404</v>
      </c>
      <c r="O36" s="20">
        <v>1004045</v>
      </c>
      <c r="P36" s="8">
        <v>63067</v>
      </c>
      <c r="Q36" s="8">
        <v>47910</v>
      </c>
      <c r="R36" s="8">
        <v>58891</v>
      </c>
      <c r="S36" s="8">
        <v>62361</v>
      </c>
      <c r="T36" s="8">
        <v>62990</v>
      </c>
      <c r="U36" s="8">
        <v>65187</v>
      </c>
      <c r="V36" s="8">
        <v>70142</v>
      </c>
      <c r="W36" s="8">
        <v>77759</v>
      </c>
      <c r="X36" s="8">
        <v>73591</v>
      </c>
      <c r="Y36" s="8">
        <v>72773</v>
      </c>
      <c r="Z36" s="8">
        <v>74974</v>
      </c>
      <c r="AA36" s="8">
        <v>88041</v>
      </c>
      <c r="AB36" s="20">
        <v>817686</v>
      </c>
      <c r="AC36" s="8">
        <v>80707</v>
      </c>
      <c r="AD36" s="8">
        <v>60783</v>
      </c>
      <c r="AE36" s="8">
        <v>65533</v>
      </c>
      <c r="AF36" s="8">
        <v>55048</v>
      </c>
      <c r="AG36" s="8">
        <v>59184</v>
      </c>
      <c r="AH36" s="8">
        <v>54457</v>
      </c>
      <c r="AI36" s="8">
        <v>55468</v>
      </c>
      <c r="AJ36" s="8">
        <v>58994</v>
      </c>
      <c r="AK36" s="8">
        <v>57612</v>
      </c>
      <c r="AL36" s="8">
        <v>61231</v>
      </c>
      <c r="AM36" s="8">
        <v>66815</v>
      </c>
      <c r="AN36" s="8">
        <v>87873</v>
      </c>
      <c r="AO36" s="20">
        <v>763705</v>
      </c>
      <c r="AP36" s="8">
        <v>76247</v>
      </c>
      <c r="AQ36" s="8">
        <v>63270</v>
      </c>
      <c r="AR36" s="8">
        <v>86031</v>
      </c>
      <c r="AS36" s="8">
        <v>80770</v>
      </c>
      <c r="AT36" s="8">
        <v>73289</v>
      </c>
      <c r="AU36" s="8">
        <v>88679</v>
      </c>
      <c r="AV36" s="8">
        <v>76279</v>
      </c>
      <c r="AW36" s="8">
        <v>77229</v>
      </c>
      <c r="AX36" s="8">
        <v>76522</v>
      </c>
      <c r="AY36" s="8">
        <v>85311</v>
      </c>
      <c r="AZ36" s="8">
        <v>78517</v>
      </c>
      <c r="BA36" s="8">
        <v>87412</v>
      </c>
      <c r="BB36" s="20">
        <v>949597</v>
      </c>
      <c r="BC36" s="8">
        <v>88926</v>
      </c>
      <c r="BD36" s="8">
        <v>71677</v>
      </c>
      <c r="BE36" s="8">
        <v>82657</v>
      </c>
      <c r="BF36" s="8">
        <v>79545</v>
      </c>
      <c r="BG36" s="8">
        <v>85408</v>
      </c>
      <c r="BH36" s="8">
        <v>91552</v>
      </c>
      <c r="BI36" s="8">
        <v>97271</v>
      </c>
      <c r="BJ36" s="8">
        <v>95493</v>
      </c>
      <c r="BK36" s="8">
        <v>93565</v>
      </c>
      <c r="BL36" s="8">
        <v>94809</v>
      </c>
      <c r="BM36" s="8">
        <v>105386</v>
      </c>
      <c r="BN36" s="8">
        <v>105387</v>
      </c>
      <c r="BO36" s="20">
        <v>1091676</v>
      </c>
      <c r="BP36" s="20">
        <f t="shared" si="0"/>
        <v>4626709</v>
      </c>
    </row>
    <row r="37" spans="1:68" s="2" customFormat="1" x14ac:dyDescent="0.2">
      <c r="A37" s="3" t="s">
        <v>302</v>
      </c>
      <c r="B37" s="2" t="s">
        <v>47</v>
      </c>
      <c r="C37" s="20">
        <v>126515</v>
      </c>
      <c r="D37" s="20">
        <v>105788</v>
      </c>
      <c r="E37" s="20">
        <v>119979</v>
      </c>
      <c r="F37" s="20">
        <v>112756</v>
      </c>
      <c r="G37" s="20">
        <v>139433</v>
      </c>
      <c r="H37" s="20">
        <v>126844</v>
      </c>
      <c r="I37" s="20">
        <v>127249</v>
      </c>
      <c r="J37" s="20">
        <v>118533</v>
      </c>
      <c r="K37" s="20">
        <v>120100</v>
      </c>
      <c r="L37" s="20">
        <v>146137</v>
      </c>
      <c r="M37" s="20">
        <v>150577</v>
      </c>
      <c r="N37" s="20">
        <v>163619</v>
      </c>
      <c r="O37" s="20">
        <v>1557530</v>
      </c>
      <c r="P37" s="20">
        <v>136298</v>
      </c>
      <c r="Q37" s="20">
        <v>117509</v>
      </c>
      <c r="R37" s="20">
        <v>158629</v>
      </c>
      <c r="S37" s="20">
        <v>230076</v>
      </c>
      <c r="T37" s="20">
        <v>354920</v>
      </c>
      <c r="U37" s="20">
        <v>483883</v>
      </c>
      <c r="V37" s="20">
        <v>645121</v>
      </c>
      <c r="W37" s="20">
        <v>670509</v>
      </c>
      <c r="X37" s="20">
        <v>700606</v>
      </c>
      <c r="Y37" s="20">
        <v>734228</v>
      </c>
      <c r="Z37" s="20">
        <v>704783</v>
      </c>
      <c r="AA37" s="20">
        <v>952469</v>
      </c>
      <c r="AB37" s="20">
        <v>5889031</v>
      </c>
      <c r="AC37" s="20">
        <v>798469</v>
      </c>
      <c r="AD37" s="20">
        <v>749436</v>
      </c>
      <c r="AE37" s="20">
        <v>869244</v>
      </c>
      <c r="AF37" s="20">
        <v>865811</v>
      </c>
      <c r="AG37" s="20">
        <v>953714</v>
      </c>
      <c r="AH37" s="20">
        <v>1062791</v>
      </c>
      <c r="AI37" s="20">
        <v>1121189</v>
      </c>
      <c r="AJ37" s="20">
        <v>1132638</v>
      </c>
      <c r="AK37" s="20">
        <v>1070245</v>
      </c>
      <c r="AL37" s="20">
        <v>978519</v>
      </c>
      <c r="AM37" s="20">
        <v>931227</v>
      </c>
      <c r="AN37" s="20">
        <v>1144542</v>
      </c>
      <c r="AO37" s="20">
        <v>11677825</v>
      </c>
      <c r="AP37" s="20">
        <v>927746</v>
      </c>
      <c r="AQ37" s="20">
        <v>1062149</v>
      </c>
      <c r="AR37" s="20">
        <v>1041861</v>
      </c>
      <c r="AS37" s="20">
        <v>1066958</v>
      </c>
      <c r="AT37" s="20">
        <v>1145499</v>
      </c>
      <c r="AU37" s="20">
        <v>1197941</v>
      </c>
      <c r="AV37" s="20">
        <v>1310756</v>
      </c>
      <c r="AW37" s="20">
        <v>1339946</v>
      </c>
      <c r="AX37" s="20">
        <v>1279258</v>
      </c>
      <c r="AY37" s="20">
        <v>1193867</v>
      </c>
      <c r="AZ37" s="20">
        <v>1092067</v>
      </c>
      <c r="BA37" s="20">
        <v>1228630</v>
      </c>
      <c r="BB37" s="20">
        <v>13886678</v>
      </c>
      <c r="BC37" s="20">
        <v>1156012</v>
      </c>
      <c r="BD37" s="20">
        <v>1022894</v>
      </c>
      <c r="BE37" s="20">
        <v>984769</v>
      </c>
      <c r="BF37" s="20">
        <v>1164539</v>
      </c>
      <c r="BG37" s="20">
        <v>1306000</v>
      </c>
      <c r="BH37" s="20">
        <v>1417096</v>
      </c>
      <c r="BI37" s="20">
        <v>1481346</v>
      </c>
      <c r="BJ37" s="20">
        <v>1505220</v>
      </c>
      <c r="BK37" s="20">
        <v>1394910</v>
      </c>
      <c r="BL37" s="20">
        <v>1348993</v>
      </c>
      <c r="BM37" s="20">
        <v>1199007</v>
      </c>
      <c r="BN37" s="20">
        <v>1405860</v>
      </c>
      <c r="BO37" s="20">
        <v>15386646</v>
      </c>
      <c r="BP37" s="20"/>
    </row>
    <row r="38" spans="1:68" s="2" customFormat="1" x14ac:dyDescent="0.2">
      <c r="A38" s="3"/>
      <c r="B38" s="2" t="s">
        <v>48</v>
      </c>
      <c r="C38" s="20" t="s">
        <v>38</v>
      </c>
      <c r="D38" s="20" t="s">
        <v>38</v>
      </c>
      <c r="E38" s="20" t="s">
        <v>38</v>
      </c>
      <c r="F38" s="20" t="s">
        <v>38</v>
      </c>
      <c r="G38" s="20" t="s">
        <v>38</v>
      </c>
      <c r="H38" s="20" t="s">
        <v>38</v>
      </c>
      <c r="I38" s="20" t="s">
        <v>38</v>
      </c>
      <c r="J38" s="20" t="s">
        <v>38</v>
      </c>
      <c r="K38" s="20" t="s">
        <v>38</v>
      </c>
      <c r="L38" s="20" t="s">
        <v>38</v>
      </c>
      <c r="M38" s="20" t="s">
        <v>38</v>
      </c>
      <c r="N38" s="20" t="s">
        <v>38</v>
      </c>
      <c r="O38" s="20" t="s">
        <v>38</v>
      </c>
      <c r="P38" s="20" t="s">
        <v>38</v>
      </c>
      <c r="Q38" s="20" t="s">
        <v>38</v>
      </c>
      <c r="R38" s="20" t="s">
        <v>38</v>
      </c>
      <c r="S38" s="20" t="s">
        <v>38</v>
      </c>
      <c r="T38" s="20" t="s">
        <v>38</v>
      </c>
      <c r="U38" s="20" t="s">
        <v>38</v>
      </c>
      <c r="V38" s="20" t="s">
        <v>38</v>
      </c>
      <c r="W38" s="20" t="s">
        <v>38</v>
      </c>
      <c r="X38" s="20" t="s">
        <v>38</v>
      </c>
      <c r="Y38" s="20" t="s">
        <v>38</v>
      </c>
      <c r="Z38" s="20" t="s">
        <v>38</v>
      </c>
      <c r="AA38" s="20" t="s">
        <v>38</v>
      </c>
      <c r="AB38" s="20" t="s">
        <v>38</v>
      </c>
      <c r="AC38" s="20" t="s">
        <v>38</v>
      </c>
      <c r="AD38" s="20" t="s">
        <v>38</v>
      </c>
      <c r="AE38" s="20" t="s">
        <v>38</v>
      </c>
      <c r="AF38" s="20" t="s">
        <v>38</v>
      </c>
      <c r="AG38" s="20" t="s">
        <v>38</v>
      </c>
      <c r="AH38" s="20" t="s">
        <v>38</v>
      </c>
      <c r="AI38" s="20" t="s">
        <v>38</v>
      </c>
      <c r="AJ38" s="20" t="s">
        <v>38</v>
      </c>
      <c r="AK38" s="20" t="s">
        <v>38</v>
      </c>
      <c r="AL38" s="20" t="s">
        <v>38</v>
      </c>
      <c r="AM38" s="20" t="s">
        <v>38</v>
      </c>
      <c r="AN38" s="20" t="s">
        <v>38</v>
      </c>
      <c r="AO38" s="20" t="s">
        <v>38</v>
      </c>
      <c r="AP38" s="20" t="s">
        <v>38</v>
      </c>
      <c r="AQ38" s="20" t="s">
        <v>38</v>
      </c>
      <c r="AR38" s="20" t="s">
        <v>38</v>
      </c>
      <c r="AS38" s="20" t="s">
        <v>38</v>
      </c>
      <c r="AT38" s="20" t="s">
        <v>38</v>
      </c>
      <c r="AU38" s="20" t="s">
        <v>38</v>
      </c>
      <c r="AV38" s="20" t="s">
        <v>38</v>
      </c>
      <c r="AW38" s="20" t="s">
        <v>38</v>
      </c>
      <c r="AX38" s="20" t="s">
        <v>38</v>
      </c>
      <c r="AY38" s="20" t="s">
        <v>38</v>
      </c>
      <c r="AZ38" s="20" t="s">
        <v>38</v>
      </c>
      <c r="BA38" s="20">
        <v>0</v>
      </c>
      <c r="BB38" s="20">
        <v>0</v>
      </c>
      <c r="BC38" s="20">
        <v>0</v>
      </c>
      <c r="BD38" s="20">
        <v>0</v>
      </c>
      <c r="BE38" s="20">
        <v>0</v>
      </c>
      <c r="BF38" s="20">
        <v>0</v>
      </c>
      <c r="BG38" s="20">
        <v>0</v>
      </c>
      <c r="BH38" s="20">
        <v>0</v>
      </c>
      <c r="BI38" s="20">
        <v>0</v>
      </c>
      <c r="BJ38" s="20">
        <v>0</v>
      </c>
      <c r="BK38" s="20">
        <v>0</v>
      </c>
      <c r="BL38" s="20">
        <v>0</v>
      </c>
      <c r="BM38" s="20">
        <v>0</v>
      </c>
      <c r="BN38" s="20">
        <v>0</v>
      </c>
      <c r="BO38" s="20">
        <v>0</v>
      </c>
      <c r="BP38" s="20"/>
    </row>
    <row r="39" spans="1:68" s="2" customFormat="1" x14ac:dyDescent="0.2">
      <c r="A39" s="3" t="s">
        <v>303</v>
      </c>
      <c r="B39" s="2" t="s">
        <v>49</v>
      </c>
      <c r="C39" s="20">
        <v>126515</v>
      </c>
      <c r="D39" s="20">
        <v>105788</v>
      </c>
      <c r="E39" s="20">
        <v>119979</v>
      </c>
      <c r="F39" s="20">
        <v>112756</v>
      </c>
      <c r="G39" s="20">
        <v>139433</v>
      </c>
      <c r="H39" s="20">
        <v>126844</v>
      </c>
      <c r="I39" s="20">
        <v>127249</v>
      </c>
      <c r="J39" s="20">
        <v>118533</v>
      </c>
      <c r="K39" s="20">
        <v>120100</v>
      </c>
      <c r="L39" s="20">
        <v>146137</v>
      </c>
      <c r="M39" s="20">
        <v>150577</v>
      </c>
      <c r="N39" s="20">
        <v>163619</v>
      </c>
      <c r="O39" s="20">
        <v>1557530</v>
      </c>
      <c r="P39" s="20">
        <v>136298</v>
      </c>
      <c r="Q39" s="20">
        <v>117509</v>
      </c>
      <c r="R39" s="20">
        <v>158629</v>
      </c>
      <c r="S39" s="20">
        <v>230076</v>
      </c>
      <c r="T39" s="20">
        <v>354920</v>
      </c>
      <c r="U39" s="20">
        <v>483883</v>
      </c>
      <c r="V39" s="20">
        <v>645121</v>
      </c>
      <c r="W39" s="20">
        <v>670509</v>
      </c>
      <c r="X39" s="20">
        <v>700606</v>
      </c>
      <c r="Y39" s="20">
        <v>734228</v>
      </c>
      <c r="Z39" s="20">
        <v>704783</v>
      </c>
      <c r="AA39" s="20">
        <v>952469</v>
      </c>
      <c r="AB39" s="20">
        <v>5889031</v>
      </c>
      <c r="AC39" s="20">
        <v>798469</v>
      </c>
      <c r="AD39" s="20">
        <v>749436</v>
      </c>
      <c r="AE39" s="20">
        <v>869244</v>
      </c>
      <c r="AF39" s="20">
        <v>865811</v>
      </c>
      <c r="AG39" s="20">
        <v>953714</v>
      </c>
      <c r="AH39" s="20">
        <v>1062791</v>
      </c>
      <c r="AI39" s="20">
        <v>1121189</v>
      </c>
      <c r="AJ39" s="20">
        <v>1132638</v>
      </c>
      <c r="AK39" s="20">
        <v>1070245</v>
      </c>
      <c r="AL39" s="20">
        <v>978519</v>
      </c>
      <c r="AM39" s="20">
        <v>931227</v>
      </c>
      <c r="AN39" s="20">
        <v>1144542</v>
      </c>
      <c r="AO39" s="20">
        <v>11677825</v>
      </c>
      <c r="AP39" s="20">
        <v>927746</v>
      </c>
      <c r="AQ39" s="20">
        <v>1062149</v>
      </c>
      <c r="AR39" s="20">
        <v>1041861</v>
      </c>
      <c r="AS39" s="20">
        <v>1066958</v>
      </c>
      <c r="AT39" s="20">
        <v>1145499</v>
      </c>
      <c r="AU39" s="20">
        <v>1197941</v>
      </c>
      <c r="AV39" s="20">
        <v>1310756</v>
      </c>
      <c r="AW39" s="20">
        <v>1339946</v>
      </c>
      <c r="AX39" s="20">
        <v>1279258</v>
      </c>
      <c r="AY39" s="20">
        <v>1193867</v>
      </c>
      <c r="AZ39" s="20">
        <v>1092067</v>
      </c>
      <c r="BA39" s="20">
        <v>1228630</v>
      </c>
      <c r="BB39" s="20">
        <v>13886678</v>
      </c>
      <c r="BC39" s="20">
        <v>1156012</v>
      </c>
      <c r="BD39" s="20">
        <v>1022894</v>
      </c>
      <c r="BE39" s="20">
        <v>984769</v>
      </c>
      <c r="BF39" s="20">
        <v>1164539</v>
      </c>
      <c r="BG39" s="20">
        <v>1306000</v>
      </c>
      <c r="BH39" s="20">
        <v>1417096</v>
      </c>
      <c r="BI39" s="20">
        <v>1481346</v>
      </c>
      <c r="BJ39" s="20">
        <v>1505220</v>
      </c>
      <c r="BK39" s="20">
        <v>1394910</v>
      </c>
      <c r="BL39" s="20">
        <v>1348993</v>
      </c>
      <c r="BM39" s="20">
        <v>1199007</v>
      </c>
      <c r="BN39" s="20">
        <v>1405860</v>
      </c>
      <c r="BO39" s="20">
        <v>15386646</v>
      </c>
      <c r="BP39" s="20"/>
    </row>
    <row r="40" spans="1:68" x14ac:dyDescent="0.2">
      <c r="A40" s="1"/>
      <c r="O40"/>
      <c r="AB40"/>
      <c r="AO40"/>
      <c r="BB40"/>
      <c r="BO40"/>
      <c r="BP40" s="1"/>
    </row>
    <row r="41" spans="1:68" x14ac:dyDescent="0.2">
      <c r="A41" s="40"/>
      <c r="B41" s="39" t="s">
        <v>51</v>
      </c>
      <c r="C41" s="39" t="s">
        <v>297</v>
      </c>
      <c r="D41" s="39"/>
      <c r="E41" s="39"/>
      <c r="F41" s="39"/>
      <c r="G41" s="39"/>
      <c r="H41" s="39"/>
      <c r="I41" s="39"/>
      <c r="J41" s="39"/>
      <c r="K41" s="39"/>
      <c r="L41" s="39"/>
      <c r="M41" s="39"/>
      <c r="N41" s="39"/>
      <c r="O41" s="39"/>
      <c r="AB41"/>
      <c r="AO41"/>
      <c r="BB41"/>
      <c r="BO41"/>
      <c r="BP41" s="1"/>
    </row>
    <row r="42" spans="1:68" x14ac:dyDescent="0.2">
      <c r="A42" s="40"/>
      <c r="B42" s="39"/>
      <c r="C42" s="39"/>
      <c r="D42" s="39"/>
      <c r="E42" s="39"/>
      <c r="F42" s="39"/>
      <c r="G42" s="39"/>
      <c r="H42" s="39"/>
      <c r="I42" s="39"/>
      <c r="J42" s="39"/>
      <c r="K42" s="39"/>
      <c r="L42" s="39"/>
      <c r="M42" s="39"/>
      <c r="N42" s="39"/>
      <c r="O42" s="39"/>
      <c r="AB42"/>
      <c r="AO42"/>
      <c r="BB42"/>
      <c r="BO42"/>
      <c r="BP42" s="1"/>
    </row>
    <row r="43" spans="1:68" x14ac:dyDescent="0.2">
      <c r="A43" s="40"/>
      <c r="B43" s="39"/>
      <c r="C43" s="39">
        <v>2021</v>
      </c>
      <c r="D43" s="39"/>
      <c r="E43" s="39"/>
      <c r="F43" s="39"/>
      <c r="G43" s="39"/>
      <c r="H43" s="39"/>
      <c r="I43" s="39"/>
      <c r="J43" s="39"/>
      <c r="K43" s="39"/>
      <c r="L43" s="39"/>
      <c r="M43" s="39"/>
      <c r="N43" s="39"/>
      <c r="O43" s="39"/>
      <c r="P43" s="39">
        <v>2022</v>
      </c>
      <c r="Q43" s="39"/>
      <c r="R43" s="39"/>
      <c r="S43" s="39"/>
      <c r="T43" s="39"/>
      <c r="U43" s="39"/>
      <c r="V43" s="39"/>
      <c r="W43" s="39"/>
      <c r="X43" s="39"/>
      <c r="Y43" s="39"/>
      <c r="Z43" s="39"/>
      <c r="AA43" s="39"/>
      <c r="AB43" s="39"/>
      <c r="AC43" s="39">
        <v>2023</v>
      </c>
      <c r="AD43" s="39"/>
      <c r="AE43" s="39"/>
      <c r="AF43" s="39"/>
      <c r="AG43" s="39"/>
      <c r="AH43" s="39"/>
      <c r="AI43" s="39"/>
      <c r="AJ43" s="39"/>
      <c r="AK43" s="39"/>
      <c r="AL43" s="39"/>
      <c r="AM43" s="39"/>
      <c r="AN43" s="39"/>
      <c r="AO43" s="39"/>
      <c r="AP43" s="39">
        <v>2024</v>
      </c>
      <c r="AQ43" s="39"/>
      <c r="AR43" s="39"/>
      <c r="AS43" s="39"/>
      <c r="AT43" s="39"/>
      <c r="AU43" s="39"/>
      <c r="AV43" s="39"/>
      <c r="AW43" s="39"/>
      <c r="AX43" s="39"/>
      <c r="AY43" s="39"/>
      <c r="AZ43" s="39"/>
      <c r="BA43" s="39"/>
      <c r="BB43" s="39"/>
      <c r="BC43" s="39">
        <v>2025</v>
      </c>
      <c r="BD43" s="39"/>
      <c r="BE43" s="39"/>
      <c r="BF43" s="39"/>
      <c r="BG43" s="39"/>
      <c r="BH43" s="39"/>
      <c r="BI43" s="39"/>
      <c r="BJ43" s="39"/>
      <c r="BK43" s="39"/>
      <c r="BL43" s="39"/>
      <c r="BM43" s="39"/>
      <c r="BN43" s="39"/>
      <c r="BO43" s="39"/>
      <c r="BP43" s="1"/>
    </row>
    <row r="44" spans="1:68" x14ac:dyDescent="0.2">
      <c r="A44" s="40"/>
      <c r="B44" s="39"/>
      <c r="C44" s="1" t="s">
        <v>1</v>
      </c>
      <c r="D44" s="1" t="s">
        <v>2</v>
      </c>
      <c r="E44" s="1" t="s">
        <v>3</v>
      </c>
      <c r="F44" s="1" t="s">
        <v>4</v>
      </c>
      <c r="G44" s="1" t="s">
        <v>5</v>
      </c>
      <c r="H44" s="1" t="s">
        <v>6</v>
      </c>
      <c r="I44" s="1" t="s">
        <v>7</v>
      </c>
      <c r="J44" s="1" t="s">
        <v>8</v>
      </c>
      <c r="K44" s="1" t="s">
        <v>9</v>
      </c>
      <c r="L44" s="1" t="s">
        <v>10</v>
      </c>
      <c r="M44" s="1" t="s">
        <v>11</v>
      </c>
      <c r="N44" s="1" t="s">
        <v>12</v>
      </c>
      <c r="O44" s="3" t="s">
        <v>13</v>
      </c>
      <c r="P44" s="1" t="s">
        <v>1</v>
      </c>
      <c r="Q44" s="1" t="s">
        <v>2</v>
      </c>
      <c r="R44" s="1" t="s">
        <v>3</v>
      </c>
      <c r="S44" s="1" t="s">
        <v>4</v>
      </c>
      <c r="T44" s="1" t="s">
        <v>5</v>
      </c>
      <c r="U44" s="1" t="s">
        <v>6</v>
      </c>
      <c r="V44" s="1" t="s">
        <v>7</v>
      </c>
      <c r="W44" s="1" t="s">
        <v>8</v>
      </c>
      <c r="X44" s="1" t="s">
        <v>9</v>
      </c>
      <c r="Y44" s="1" t="s">
        <v>10</v>
      </c>
      <c r="Z44" s="1" t="s">
        <v>11</v>
      </c>
      <c r="AA44" s="1" t="s">
        <v>12</v>
      </c>
      <c r="AB44" s="3" t="s">
        <v>13</v>
      </c>
      <c r="AC44" s="1" t="s">
        <v>1</v>
      </c>
      <c r="AD44" s="1" t="s">
        <v>2</v>
      </c>
      <c r="AE44" s="1" t="s">
        <v>3</v>
      </c>
      <c r="AF44" s="1" t="s">
        <v>4</v>
      </c>
      <c r="AG44" s="1" t="s">
        <v>5</v>
      </c>
      <c r="AH44" s="1" t="s">
        <v>6</v>
      </c>
      <c r="AI44" s="1" t="s">
        <v>7</v>
      </c>
      <c r="AJ44" s="1" t="s">
        <v>8</v>
      </c>
      <c r="AK44" s="1" t="s">
        <v>9</v>
      </c>
      <c r="AL44" s="1" t="s">
        <v>10</v>
      </c>
      <c r="AM44" s="1" t="s">
        <v>11</v>
      </c>
      <c r="AN44" s="1" t="s">
        <v>12</v>
      </c>
      <c r="AO44" s="3" t="s">
        <v>13</v>
      </c>
      <c r="AP44" s="1" t="s">
        <v>1</v>
      </c>
      <c r="AQ44" s="1" t="s">
        <v>2</v>
      </c>
      <c r="AR44" s="1" t="s">
        <v>3</v>
      </c>
      <c r="AS44" s="1" t="s">
        <v>4</v>
      </c>
      <c r="AT44" s="1" t="s">
        <v>5</v>
      </c>
      <c r="AU44" s="1" t="s">
        <v>6</v>
      </c>
      <c r="AV44" s="1" t="s">
        <v>7</v>
      </c>
      <c r="AW44" s="1" t="s">
        <v>8</v>
      </c>
      <c r="AX44" s="1" t="s">
        <v>9</v>
      </c>
      <c r="AY44" s="1" t="s">
        <v>10</v>
      </c>
      <c r="AZ44" s="1" t="s">
        <v>11</v>
      </c>
      <c r="BA44" s="1" t="s">
        <v>12</v>
      </c>
      <c r="BB44" s="3" t="s">
        <v>13</v>
      </c>
      <c r="BC44" s="1" t="s">
        <v>1</v>
      </c>
      <c r="BD44" s="1" t="s">
        <v>2</v>
      </c>
      <c r="BE44" s="1" t="s">
        <v>3</v>
      </c>
      <c r="BF44" s="1" t="s">
        <v>4</v>
      </c>
      <c r="BG44" s="1" t="s">
        <v>5</v>
      </c>
      <c r="BH44" s="1" t="s">
        <v>6</v>
      </c>
      <c r="BI44" s="1" t="s">
        <v>7</v>
      </c>
      <c r="BJ44" s="1" t="s">
        <v>8</v>
      </c>
      <c r="BK44" s="1" t="s">
        <v>9</v>
      </c>
      <c r="BL44" s="1" t="s">
        <v>10</v>
      </c>
      <c r="BM44" s="1" t="s">
        <v>11</v>
      </c>
      <c r="BN44" s="1" t="s">
        <v>12</v>
      </c>
      <c r="BO44" s="3" t="s">
        <v>13</v>
      </c>
      <c r="BP44" s="3" t="s">
        <v>49</v>
      </c>
    </row>
    <row r="45" spans="1:68" x14ac:dyDescent="0.2">
      <c r="A45" s="3">
        <v>1</v>
      </c>
      <c r="B45" t="s">
        <v>52</v>
      </c>
      <c r="C45" s="1">
        <v>44001</v>
      </c>
      <c r="D45" s="1">
        <v>34425</v>
      </c>
      <c r="E45" s="1">
        <v>37095</v>
      </c>
      <c r="F45" s="1">
        <v>35871</v>
      </c>
      <c r="G45" s="1">
        <v>45322</v>
      </c>
      <c r="H45" s="1">
        <v>34345</v>
      </c>
      <c r="I45" s="1">
        <v>41913</v>
      </c>
      <c r="J45" s="1">
        <v>37530</v>
      </c>
      <c r="K45" s="1">
        <v>37946</v>
      </c>
      <c r="L45" s="1">
        <v>44113</v>
      </c>
      <c r="M45" s="1">
        <v>39434</v>
      </c>
      <c r="N45" s="1">
        <v>48728</v>
      </c>
      <c r="O45" s="3">
        <v>480723</v>
      </c>
      <c r="P45" s="1">
        <v>55214</v>
      </c>
      <c r="Q45" s="1">
        <v>46894</v>
      </c>
      <c r="R45" s="1">
        <v>54006</v>
      </c>
      <c r="S45" s="1">
        <v>63079</v>
      </c>
      <c r="T45" s="1">
        <v>95099</v>
      </c>
      <c r="U45" s="1">
        <v>95277</v>
      </c>
      <c r="V45" s="1">
        <v>124849</v>
      </c>
      <c r="W45" s="1">
        <v>112314</v>
      </c>
      <c r="X45" s="1">
        <v>124445</v>
      </c>
      <c r="Y45" s="1">
        <v>131169</v>
      </c>
      <c r="Z45" s="1">
        <v>121035</v>
      </c>
      <c r="AA45" s="1">
        <v>189193</v>
      </c>
      <c r="AB45" s="3">
        <v>1212574</v>
      </c>
      <c r="AC45" s="1">
        <v>140071</v>
      </c>
      <c r="AD45" s="1">
        <v>150078</v>
      </c>
      <c r="AE45" s="1">
        <v>152447</v>
      </c>
      <c r="AF45" s="1">
        <v>147248</v>
      </c>
      <c r="AG45" s="1">
        <v>169185</v>
      </c>
      <c r="AH45" s="1">
        <v>168759</v>
      </c>
      <c r="AI45" s="1">
        <v>154967</v>
      </c>
      <c r="AJ45" s="1">
        <v>174788</v>
      </c>
      <c r="AK45" s="1">
        <v>152210</v>
      </c>
      <c r="AL45" s="1">
        <v>138597</v>
      </c>
      <c r="AM45" s="1">
        <v>141746</v>
      </c>
      <c r="AN45" s="1">
        <v>211146</v>
      </c>
      <c r="AO45" s="3">
        <v>1901242</v>
      </c>
      <c r="AP45" s="1">
        <v>155213</v>
      </c>
      <c r="AQ45" s="1">
        <v>218057</v>
      </c>
      <c r="AR45" s="1">
        <v>160269</v>
      </c>
      <c r="AS45" s="1">
        <v>170644</v>
      </c>
      <c r="AT45" s="1">
        <v>200070</v>
      </c>
      <c r="AU45" s="1">
        <v>183696</v>
      </c>
      <c r="AV45" s="1">
        <v>177711</v>
      </c>
      <c r="AW45" s="1">
        <v>188752</v>
      </c>
      <c r="AX45" s="1">
        <v>234466</v>
      </c>
      <c r="AY45" s="1">
        <v>194099</v>
      </c>
      <c r="AZ45" s="1">
        <v>174265</v>
      </c>
      <c r="BA45" s="1">
        <v>213314</v>
      </c>
      <c r="BB45" s="3">
        <v>2270556</v>
      </c>
      <c r="BC45" s="1">
        <v>221474</v>
      </c>
      <c r="BD45" s="1">
        <v>214605</v>
      </c>
      <c r="BE45" s="1">
        <v>159895</v>
      </c>
      <c r="BF45" s="1">
        <v>170018</v>
      </c>
      <c r="BG45" s="1">
        <v>238497</v>
      </c>
      <c r="BH45" s="1">
        <v>236417</v>
      </c>
      <c r="BI45" s="1">
        <v>212113</v>
      </c>
      <c r="BJ45" s="1">
        <v>229726</v>
      </c>
      <c r="BK45" s="1">
        <v>272421</v>
      </c>
      <c r="BL45" s="1">
        <v>234384</v>
      </c>
      <c r="BM45" s="1">
        <v>207037</v>
      </c>
      <c r="BN45" s="1">
        <v>243162</v>
      </c>
      <c r="BO45" s="3">
        <v>2639749</v>
      </c>
      <c r="BP45" s="3">
        <f t="shared" ref="BP45:BP69" si="1">SUM($BO45,$BB45,$AO45,$AB45,$O45)</f>
        <v>8504844</v>
      </c>
    </row>
    <row r="46" spans="1:68" x14ac:dyDescent="0.2">
      <c r="A46" s="3">
        <v>2</v>
      </c>
      <c r="B46" t="s">
        <v>53</v>
      </c>
      <c r="C46" s="1">
        <v>2107</v>
      </c>
      <c r="D46" s="1">
        <v>1864</v>
      </c>
      <c r="E46" s="1">
        <v>2396</v>
      </c>
      <c r="F46" s="1">
        <v>2541</v>
      </c>
      <c r="G46" s="1">
        <v>2293</v>
      </c>
      <c r="H46" s="1">
        <v>1049</v>
      </c>
      <c r="I46" s="1">
        <v>980</v>
      </c>
      <c r="J46" s="1">
        <v>946</v>
      </c>
      <c r="K46" s="1">
        <v>729</v>
      </c>
      <c r="L46" s="1">
        <v>1142</v>
      </c>
      <c r="M46" s="1">
        <v>1462</v>
      </c>
      <c r="N46" s="1">
        <v>1195</v>
      </c>
      <c r="O46" s="3">
        <v>18704</v>
      </c>
      <c r="P46" s="1">
        <v>2199</v>
      </c>
      <c r="Q46" s="1">
        <v>2237</v>
      </c>
      <c r="R46" s="1">
        <v>5335</v>
      </c>
      <c r="S46" s="1">
        <v>15106</v>
      </c>
      <c r="T46" s="1">
        <v>27671</v>
      </c>
      <c r="U46" s="1">
        <v>57218</v>
      </c>
      <c r="V46" s="1">
        <v>67758</v>
      </c>
      <c r="W46" s="1">
        <v>70621</v>
      </c>
      <c r="X46" s="1">
        <v>95549</v>
      </c>
      <c r="Y46" s="1">
        <v>94172</v>
      </c>
      <c r="Z46" s="1">
        <v>107705</v>
      </c>
      <c r="AA46" s="1">
        <v>191226</v>
      </c>
      <c r="AB46" s="3">
        <v>736797</v>
      </c>
      <c r="AC46" s="1">
        <v>107735</v>
      </c>
      <c r="AD46" s="1">
        <v>84358</v>
      </c>
      <c r="AE46" s="1">
        <v>124340</v>
      </c>
      <c r="AF46" s="1">
        <v>97280</v>
      </c>
      <c r="AG46" s="1">
        <v>100729</v>
      </c>
      <c r="AH46" s="1">
        <v>174443</v>
      </c>
      <c r="AI46" s="1">
        <v>109847</v>
      </c>
      <c r="AJ46" s="1">
        <v>105456</v>
      </c>
      <c r="AK46" s="1">
        <v>114713</v>
      </c>
      <c r="AL46" s="1">
        <v>89770</v>
      </c>
      <c r="AM46" s="1">
        <v>118005</v>
      </c>
      <c r="AN46" s="1">
        <v>187771</v>
      </c>
      <c r="AO46" s="3">
        <v>1414447</v>
      </c>
      <c r="AP46" s="1">
        <v>87248</v>
      </c>
      <c r="AQ46" s="1">
        <v>114301</v>
      </c>
      <c r="AR46" s="1">
        <v>120040</v>
      </c>
      <c r="AS46" s="1">
        <v>81225</v>
      </c>
      <c r="AT46" s="1">
        <v>111021</v>
      </c>
      <c r="AU46" s="1">
        <v>157085</v>
      </c>
      <c r="AV46" s="1">
        <v>102322</v>
      </c>
      <c r="AW46" s="1">
        <v>125512</v>
      </c>
      <c r="AX46" s="1">
        <v>106963</v>
      </c>
      <c r="AY46" s="1">
        <v>106307</v>
      </c>
      <c r="AZ46" s="1">
        <v>120449</v>
      </c>
      <c r="BA46" s="1">
        <v>172825</v>
      </c>
      <c r="BB46" s="3">
        <v>1405298</v>
      </c>
      <c r="BC46" s="1">
        <v>110484</v>
      </c>
      <c r="BD46" s="1">
        <v>89757</v>
      </c>
      <c r="BE46" s="1">
        <v>100883</v>
      </c>
      <c r="BF46" s="1">
        <v>97506</v>
      </c>
      <c r="BG46" s="1">
        <v>126391</v>
      </c>
      <c r="BH46" s="1">
        <v>183748</v>
      </c>
      <c r="BI46" s="1">
        <v>114224</v>
      </c>
      <c r="BJ46" s="1">
        <v>129864</v>
      </c>
      <c r="BK46" s="1">
        <v>119237</v>
      </c>
      <c r="BL46" s="1">
        <v>123578</v>
      </c>
      <c r="BM46" s="1">
        <v>126254</v>
      </c>
      <c r="BN46" s="1">
        <v>204512</v>
      </c>
      <c r="BO46" s="3">
        <v>1526438</v>
      </c>
      <c r="BP46" s="3">
        <f t="shared" si="1"/>
        <v>5101684</v>
      </c>
    </row>
    <row r="47" spans="1:68" x14ac:dyDescent="0.2">
      <c r="A47" s="3">
        <v>3</v>
      </c>
      <c r="B47" t="s">
        <v>54</v>
      </c>
      <c r="C47" s="1">
        <v>68451</v>
      </c>
      <c r="D47" s="1">
        <v>54211</v>
      </c>
      <c r="E47" s="1">
        <v>59389</v>
      </c>
      <c r="F47" s="1">
        <v>48447</v>
      </c>
      <c r="G47" s="1">
        <v>70265</v>
      </c>
      <c r="H47" s="1">
        <v>68475</v>
      </c>
      <c r="I47" s="1">
        <v>69516</v>
      </c>
      <c r="J47" s="1">
        <v>70216</v>
      </c>
      <c r="K47" s="1">
        <v>69080</v>
      </c>
      <c r="L47" s="1">
        <v>76086</v>
      </c>
      <c r="M47" s="1">
        <v>80377</v>
      </c>
      <c r="N47" s="1">
        <v>84975</v>
      </c>
      <c r="O47" s="3">
        <v>819488</v>
      </c>
      <c r="P47" s="1">
        <v>53089</v>
      </c>
      <c r="Q47" s="1">
        <v>41515</v>
      </c>
      <c r="R47" s="1">
        <v>50301</v>
      </c>
      <c r="S47" s="1">
        <v>49995</v>
      </c>
      <c r="T47" s="1">
        <v>51121</v>
      </c>
      <c r="U47" s="1">
        <v>54644</v>
      </c>
      <c r="V47" s="1">
        <v>58905</v>
      </c>
      <c r="W47" s="1">
        <v>68777</v>
      </c>
      <c r="X47" s="1">
        <v>66734</v>
      </c>
      <c r="Y47" s="1">
        <v>66134</v>
      </c>
      <c r="Z47" s="1">
        <v>67327</v>
      </c>
      <c r="AA47" s="1">
        <v>75238</v>
      </c>
      <c r="AB47" s="3">
        <v>703780</v>
      </c>
      <c r="AC47" s="1">
        <v>70414</v>
      </c>
      <c r="AD47" s="1">
        <v>55948</v>
      </c>
      <c r="AE47" s="1">
        <v>63596</v>
      </c>
      <c r="AF47" s="1">
        <v>61077</v>
      </c>
      <c r="AG47" s="1">
        <v>60508</v>
      </c>
      <c r="AH47" s="1">
        <v>52719</v>
      </c>
      <c r="AI47" s="1">
        <v>55991</v>
      </c>
      <c r="AJ47" s="1">
        <v>64285</v>
      </c>
      <c r="AK47" s="1">
        <v>57560</v>
      </c>
      <c r="AL47" s="1">
        <v>58891</v>
      </c>
      <c r="AM47" s="1">
        <v>62139</v>
      </c>
      <c r="AN47" s="1">
        <v>65458</v>
      </c>
      <c r="AO47" s="3">
        <v>728586</v>
      </c>
      <c r="AP47" s="1">
        <v>55324</v>
      </c>
      <c r="AQ47" s="1">
        <v>43190</v>
      </c>
      <c r="AR47" s="1">
        <v>62800</v>
      </c>
      <c r="AS47" s="1">
        <v>61926</v>
      </c>
      <c r="AT47" s="1">
        <v>59049</v>
      </c>
      <c r="AU47" s="1">
        <v>71935</v>
      </c>
      <c r="AV47" s="1">
        <v>67615</v>
      </c>
      <c r="AW47" s="1">
        <v>68142</v>
      </c>
      <c r="AX47" s="1">
        <v>66374</v>
      </c>
      <c r="AY47" s="1">
        <v>76566</v>
      </c>
      <c r="AZ47" s="1">
        <v>75184</v>
      </c>
      <c r="BA47" s="1">
        <v>78041</v>
      </c>
      <c r="BB47" s="3">
        <v>786146</v>
      </c>
      <c r="BC47" s="1">
        <v>75735</v>
      </c>
      <c r="BD47" s="1">
        <v>61770</v>
      </c>
      <c r="BE47" s="1">
        <v>63471</v>
      </c>
      <c r="BF47" s="1">
        <v>69721</v>
      </c>
      <c r="BG47" s="1">
        <v>80809</v>
      </c>
      <c r="BH47" s="1">
        <v>82296</v>
      </c>
      <c r="BI47" s="1">
        <v>90840</v>
      </c>
      <c r="BJ47" s="1">
        <v>89516</v>
      </c>
      <c r="BK47" s="1">
        <v>86861</v>
      </c>
      <c r="BL47" s="1">
        <v>90077</v>
      </c>
      <c r="BM47" s="1">
        <v>98987</v>
      </c>
      <c r="BN47" s="1">
        <v>119098</v>
      </c>
      <c r="BO47" s="3">
        <v>1009181</v>
      </c>
      <c r="BP47" s="3">
        <f t="shared" si="1"/>
        <v>4047181</v>
      </c>
    </row>
    <row r="48" spans="1:68" x14ac:dyDescent="0.2">
      <c r="A48" s="3">
        <v>4</v>
      </c>
      <c r="B48" t="s">
        <v>55</v>
      </c>
      <c r="C48" s="1">
        <v>935</v>
      </c>
      <c r="D48" s="1">
        <v>664</v>
      </c>
      <c r="E48" s="1">
        <v>1214</v>
      </c>
      <c r="F48" s="1">
        <v>263</v>
      </c>
      <c r="G48" s="1">
        <v>927</v>
      </c>
      <c r="H48" s="1">
        <v>779</v>
      </c>
      <c r="I48" s="1">
        <v>709</v>
      </c>
      <c r="J48" s="1">
        <v>571</v>
      </c>
      <c r="K48" s="1">
        <v>571</v>
      </c>
      <c r="L48" s="1">
        <v>647</v>
      </c>
      <c r="M48" s="1">
        <v>1185</v>
      </c>
      <c r="N48" s="1">
        <v>1487</v>
      </c>
      <c r="O48" s="3">
        <v>9952</v>
      </c>
      <c r="P48" s="1">
        <v>699</v>
      </c>
      <c r="Q48" s="1">
        <v>1007</v>
      </c>
      <c r="R48" s="1">
        <v>3224</v>
      </c>
      <c r="S48" s="1">
        <v>7511</v>
      </c>
      <c r="T48" s="1">
        <v>13940</v>
      </c>
      <c r="U48" s="1">
        <v>21759</v>
      </c>
      <c r="V48" s="1">
        <v>26884</v>
      </c>
      <c r="W48" s="1">
        <v>24229</v>
      </c>
      <c r="X48" s="1">
        <v>26041</v>
      </c>
      <c r="Y48" s="1">
        <v>27316</v>
      </c>
      <c r="Z48" s="1">
        <v>27417</v>
      </c>
      <c r="AA48" s="1">
        <v>37587</v>
      </c>
      <c r="AB48" s="3">
        <v>217614</v>
      </c>
      <c r="AC48" s="1">
        <v>38670</v>
      </c>
      <c r="AD48" s="1">
        <v>25344</v>
      </c>
      <c r="AE48" s="1">
        <v>31522</v>
      </c>
      <c r="AF48" s="1">
        <v>38683</v>
      </c>
      <c r="AG48" s="1">
        <v>29708</v>
      </c>
      <c r="AH48" s="1">
        <v>32710</v>
      </c>
      <c r="AI48" s="1">
        <v>34472</v>
      </c>
      <c r="AJ48" s="1">
        <v>37142</v>
      </c>
      <c r="AK48" s="1">
        <v>32324</v>
      </c>
      <c r="AL48" s="1">
        <v>36113</v>
      </c>
      <c r="AM48" s="1">
        <v>37255</v>
      </c>
      <c r="AN48" s="1">
        <v>45550</v>
      </c>
      <c r="AO48" s="3">
        <v>419493</v>
      </c>
      <c r="AP48" s="1">
        <v>35180</v>
      </c>
      <c r="AQ48" s="1">
        <v>52856</v>
      </c>
      <c r="AR48" s="1">
        <v>37114</v>
      </c>
      <c r="AS48" s="1">
        <v>75260</v>
      </c>
      <c r="AT48" s="1">
        <v>37471</v>
      </c>
      <c r="AU48" s="1">
        <v>41184</v>
      </c>
      <c r="AV48" s="1">
        <v>43957</v>
      </c>
      <c r="AW48" s="1">
        <v>51760</v>
      </c>
      <c r="AX48" s="1">
        <v>45473</v>
      </c>
      <c r="AY48" s="1">
        <v>47457</v>
      </c>
      <c r="AZ48" s="1">
        <v>45300</v>
      </c>
      <c r="BA48" s="1">
        <v>53876</v>
      </c>
      <c r="BB48" s="3">
        <v>566888</v>
      </c>
      <c r="BC48" s="1">
        <v>46451</v>
      </c>
      <c r="BD48" s="1">
        <v>42534</v>
      </c>
      <c r="BE48" s="1">
        <v>35310</v>
      </c>
      <c r="BF48" s="1">
        <v>45118</v>
      </c>
      <c r="BG48" s="1">
        <v>51180</v>
      </c>
      <c r="BH48" s="1">
        <v>69252</v>
      </c>
      <c r="BI48" s="1">
        <v>55391</v>
      </c>
      <c r="BJ48" s="1">
        <v>62962</v>
      </c>
      <c r="BK48" s="1">
        <v>54550</v>
      </c>
      <c r="BL48" s="1">
        <v>58476</v>
      </c>
      <c r="BM48" s="1">
        <v>50980</v>
      </c>
      <c r="BN48" s="1">
        <v>59812</v>
      </c>
      <c r="BO48" s="3">
        <v>632016</v>
      </c>
      <c r="BP48" s="3">
        <f t="shared" si="1"/>
        <v>1845963</v>
      </c>
    </row>
    <row r="49" spans="1:69" x14ac:dyDescent="0.2">
      <c r="A49" s="3">
        <v>5</v>
      </c>
      <c r="B49" t="s">
        <v>56</v>
      </c>
      <c r="C49" s="1">
        <v>779</v>
      </c>
      <c r="D49" s="1">
        <v>679</v>
      </c>
      <c r="E49" s="1">
        <v>1014</v>
      </c>
      <c r="F49" s="1">
        <v>995</v>
      </c>
      <c r="G49" s="1">
        <v>972</v>
      </c>
      <c r="H49" s="1">
        <v>670</v>
      </c>
      <c r="I49" s="1">
        <v>483</v>
      </c>
      <c r="J49" s="1">
        <v>438</v>
      </c>
      <c r="K49" s="1">
        <v>511</v>
      </c>
      <c r="L49" s="1">
        <v>831</v>
      </c>
      <c r="M49" s="1">
        <v>1148</v>
      </c>
      <c r="N49" s="1">
        <v>855</v>
      </c>
      <c r="O49" s="3">
        <v>9375</v>
      </c>
      <c r="P49" s="1">
        <v>1405</v>
      </c>
      <c r="Q49" s="1">
        <v>1461</v>
      </c>
      <c r="R49" s="1">
        <v>2030</v>
      </c>
      <c r="S49" s="1">
        <v>2853</v>
      </c>
      <c r="T49" s="1">
        <v>3900</v>
      </c>
      <c r="U49" s="1">
        <v>5811</v>
      </c>
      <c r="V49" s="1">
        <v>7827</v>
      </c>
      <c r="W49" s="1">
        <v>7996</v>
      </c>
      <c r="X49" s="1">
        <v>9185</v>
      </c>
      <c r="Y49" s="1">
        <v>10751</v>
      </c>
      <c r="Z49" s="1">
        <v>11416</v>
      </c>
      <c r="AA49" s="1">
        <v>13801</v>
      </c>
      <c r="AB49" s="3">
        <v>78436</v>
      </c>
      <c r="AC49" s="1">
        <v>14722</v>
      </c>
      <c r="AD49" s="1">
        <v>13402</v>
      </c>
      <c r="AE49" s="1">
        <v>14964</v>
      </c>
      <c r="AF49" s="1">
        <v>15858</v>
      </c>
      <c r="AG49" s="1">
        <v>16911</v>
      </c>
      <c r="AH49" s="1">
        <v>19091</v>
      </c>
      <c r="AI49" s="1">
        <v>20868</v>
      </c>
      <c r="AJ49" s="1">
        <v>19265</v>
      </c>
      <c r="AK49" s="1">
        <v>18237</v>
      </c>
      <c r="AL49" s="1">
        <v>17554</v>
      </c>
      <c r="AM49" s="1">
        <v>18299</v>
      </c>
      <c r="AN49" s="1">
        <v>20287</v>
      </c>
      <c r="AO49" s="3">
        <v>209458</v>
      </c>
      <c r="AP49" s="1">
        <v>16937</v>
      </c>
      <c r="AQ49" s="1">
        <v>18367</v>
      </c>
      <c r="AR49" s="1">
        <v>20469</v>
      </c>
      <c r="AS49" s="1">
        <v>17726</v>
      </c>
      <c r="AT49" s="1">
        <v>19462</v>
      </c>
      <c r="AU49" s="1">
        <v>22242</v>
      </c>
      <c r="AV49" s="1">
        <v>22369</v>
      </c>
      <c r="AW49" s="1">
        <v>22214</v>
      </c>
      <c r="AX49" s="1">
        <v>19437</v>
      </c>
      <c r="AY49" s="1">
        <v>19940</v>
      </c>
      <c r="AZ49" s="1">
        <v>20318</v>
      </c>
      <c r="BA49" s="1">
        <v>18929</v>
      </c>
      <c r="BB49" s="3">
        <v>238410</v>
      </c>
      <c r="BC49" s="1">
        <v>16370</v>
      </c>
      <c r="BD49" s="1">
        <v>15505</v>
      </c>
      <c r="BE49" s="1">
        <v>15457</v>
      </c>
      <c r="BF49" s="1">
        <v>18652</v>
      </c>
      <c r="BG49" s="1">
        <v>23264</v>
      </c>
      <c r="BH49" s="1">
        <v>24580</v>
      </c>
      <c r="BI49" s="1">
        <v>22132</v>
      </c>
      <c r="BJ49" s="1">
        <v>22278</v>
      </c>
      <c r="BK49" s="1">
        <v>20437</v>
      </c>
      <c r="BL49" s="1">
        <v>22948</v>
      </c>
      <c r="BM49" s="1">
        <v>22054</v>
      </c>
      <c r="BN49" s="1">
        <v>23051</v>
      </c>
      <c r="BO49" s="3">
        <v>246728</v>
      </c>
      <c r="BP49" s="3">
        <f t="shared" si="1"/>
        <v>782407</v>
      </c>
    </row>
    <row r="50" spans="1:69" x14ac:dyDescent="0.2">
      <c r="A50" s="3">
        <v>6</v>
      </c>
      <c r="B50" t="s">
        <v>57</v>
      </c>
      <c r="C50" s="1">
        <v>258</v>
      </c>
      <c r="D50" s="1">
        <v>301</v>
      </c>
      <c r="E50" s="1">
        <v>327</v>
      </c>
      <c r="F50" s="1">
        <v>418</v>
      </c>
      <c r="G50" s="1">
        <v>423</v>
      </c>
      <c r="H50" s="1">
        <v>299</v>
      </c>
      <c r="I50" s="1">
        <v>225</v>
      </c>
      <c r="J50" s="1">
        <v>225</v>
      </c>
      <c r="K50" s="1">
        <v>265</v>
      </c>
      <c r="L50" s="1">
        <v>389</v>
      </c>
      <c r="M50" s="1">
        <v>427</v>
      </c>
      <c r="N50" s="1">
        <v>435</v>
      </c>
      <c r="O50" s="3">
        <v>3992</v>
      </c>
      <c r="P50" s="1">
        <v>832</v>
      </c>
      <c r="Q50" s="1">
        <v>600</v>
      </c>
      <c r="R50" s="1">
        <v>1019</v>
      </c>
      <c r="S50" s="1">
        <v>1465</v>
      </c>
      <c r="T50" s="1">
        <v>2666</v>
      </c>
      <c r="U50" s="1">
        <v>4882</v>
      </c>
      <c r="V50" s="1">
        <v>7632</v>
      </c>
      <c r="W50" s="1">
        <v>7234</v>
      </c>
      <c r="X50" s="1">
        <v>7430</v>
      </c>
      <c r="Y50" s="1">
        <v>10471</v>
      </c>
      <c r="Z50" s="1">
        <v>8154</v>
      </c>
      <c r="AA50" s="1">
        <v>8743</v>
      </c>
      <c r="AB50" s="3">
        <v>61128</v>
      </c>
      <c r="AC50" s="1">
        <v>7768</v>
      </c>
      <c r="AD50" s="1">
        <v>7823</v>
      </c>
      <c r="AE50" s="1">
        <v>9411</v>
      </c>
      <c r="AF50" s="1">
        <v>7320</v>
      </c>
      <c r="AG50" s="1">
        <v>8798</v>
      </c>
      <c r="AH50" s="1">
        <v>8913</v>
      </c>
      <c r="AI50" s="1">
        <v>12368</v>
      </c>
      <c r="AJ50" s="1">
        <v>10567</v>
      </c>
      <c r="AK50" s="1">
        <v>9228</v>
      </c>
      <c r="AL50" s="1">
        <v>10540</v>
      </c>
      <c r="AM50" s="1">
        <v>9228</v>
      </c>
      <c r="AN50" s="1">
        <v>9822</v>
      </c>
      <c r="AO50" s="3">
        <v>111786</v>
      </c>
      <c r="AP50" s="1">
        <v>8449</v>
      </c>
      <c r="AQ50" s="1">
        <v>8666</v>
      </c>
      <c r="AR50" s="1">
        <v>8691</v>
      </c>
      <c r="AS50" s="1">
        <v>9791</v>
      </c>
      <c r="AT50" s="1">
        <v>11081</v>
      </c>
      <c r="AU50" s="1">
        <v>9971</v>
      </c>
      <c r="AV50" s="1">
        <v>11744</v>
      </c>
      <c r="AW50" s="1">
        <v>11870</v>
      </c>
      <c r="AX50" s="1">
        <v>10458</v>
      </c>
      <c r="AY50" s="1">
        <v>10646</v>
      </c>
      <c r="AZ50" s="1">
        <v>8908</v>
      </c>
      <c r="BA50" s="1">
        <v>7918</v>
      </c>
      <c r="BB50" s="3">
        <v>118193</v>
      </c>
      <c r="BC50" s="1">
        <v>6043</v>
      </c>
      <c r="BD50" s="1">
        <v>7262</v>
      </c>
      <c r="BE50" s="1">
        <v>6536</v>
      </c>
      <c r="BF50" s="1">
        <v>10073</v>
      </c>
      <c r="BG50" s="1">
        <v>11683</v>
      </c>
      <c r="BH50" s="1">
        <v>9490</v>
      </c>
      <c r="BI50" s="1">
        <v>11397</v>
      </c>
      <c r="BJ50" s="1">
        <v>11953</v>
      </c>
      <c r="BK50" s="1">
        <v>10099</v>
      </c>
      <c r="BL50" s="1">
        <v>11124</v>
      </c>
      <c r="BM50" s="1">
        <v>8423</v>
      </c>
      <c r="BN50" s="1">
        <v>8054</v>
      </c>
      <c r="BO50" s="3">
        <v>112137</v>
      </c>
      <c r="BP50" s="3">
        <f t="shared" si="1"/>
        <v>407236</v>
      </c>
    </row>
    <row r="51" spans="1:69" x14ac:dyDescent="0.2">
      <c r="A51" s="3">
        <v>7</v>
      </c>
      <c r="B51" t="s">
        <v>58</v>
      </c>
      <c r="C51" s="1">
        <v>141</v>
      </c>
      <c r="D51" s="1">
        <v>167</v>
      </c>
      <c r="E51" s="1">
        <v>155</v>
      </c>
      <c r="F51" s="1">
        <v>196</v>
      </c>
      <c r="G51" s="1">
        <v>164</v>
      </c>
      <c r="H51" s="1">
        <v>131</v>
      </c>
      <c r="I51" s="1">
        <v>147</v>
      </c>
      <c r="J51" s="1">
        <v>134</v>
      </c>
      <c r="K51" s="1">
        <v>122</v>
      </c>
      <c r="L51" s="1">
        <v>160</v>
      </c>
      <c r="M51" s="1">
        <v>214</v>
      </c>
      <c r="N51" s="1">
        <v>277</v>
      </c>
      <c r="O51" s="3">
        <v>2008</v>
      </c>
      <c r="P51" s="1">
        <v>309</v>
      </c>
      <c r="Q51" s="1">
        <v>490</v>
      </c>
      <c r="R51" s="1">
        <v>531</v>
      </c>
      <c r="S51" s="1">
        <v>981</v>
      </c>
      <c r="T51" s="1">
        <v>1846</v>
      </c>
      <c r="U51" s="1">
        <v>6402</v>
      </c>
      <c r="V51" s="1">
        <v>10559</v>
      </c>
      <c r="W51" s="1">
        <v>12097</v>
      </c>
      <c r="X51" s="1">
        <v>10377</v>
      </c>
      <c r="Y51" s="1">
        <v>9484</v>
      </c>
      <c r="Z51" s="1">
        <v>7434</v>
      </c>
      <c r="AA51" s="1">
        <v>7557</v>
      </c>
      <c r="AB51" s="3">
        <v>68067</v>
      </c>
      <c r="AC51" s="1">
        <v>8769</v>
      </c>
      <c r="AD51" s="1">
        <v>8810</v>
      </c>
      <c r="AE51" s="1">
        <v>10399</v>
      </c>
      <c r="AF51" s="1">
        <v>9874</v>
      </c>
      <c r="AG51" s="1">
        <v>9719</v>
      </c>
      <c r="AH51" s="1">
        <v>12842</v>
      </c>
      <c r="AI51" s="1">
        <v>14278</v>
      </c>
      <c r="AJ51" s="1">
        <v>12808</v>
      </c>
      <c r="AK51" s="1">
        <v>9368</v>
      </c>
      <c r="AL51" s="1">
        <v>7837</v>
      </c>
      <c r="AM51" s="1">
        <v>8077</v>
      </c>
      <c r="AN51" s="1">
        <v>9098</v>
      </c>
      <c r="AO51" s="3">
        <v>121879</v>
      </c>
      <c r="AP51" s="1">
        <v>6772</v>
      </c>
      <c r="AQ51" s="1">
        <v>9566</v>
      </c>
      <c r="AR51" s="1">
        <v>9151</v>
      </c>
      <c r="AS51" s="1">
        <v>9690</v>
      </c>
      <c r="AT51" s="1">
        <v>10191</v>
      </c>
      <c r="AU51" s="1">
        <v>9013</v>
      </c>
      <c r="AV51" s="1">
        <v>11274</v>
      </c>
      <c r="AW51" s="1">
        <v>11042</v>
      </c>
      <c r="AX51" s="1">
        <v>8442</v>
      </c>
      <c r="AY51" s="1">
        <v>7062</v>
      </c>
      <c r="AZ51" s="1">
        <v>6782</v>
      </c>
      <c r="BA51" s="1">
        <v>5916</v>
      </c>
      <c r="BB51" s="3">
        <v>104901</v>
      </c>
      <c r="BC51" s="1">
        <v>5821</v>
      </c>
      <c r="BD51" s="1">
        <v>6781</v>
      </c>
      <c r="BE51" s="1">
        <v>6087</v>
      </c>
      <c r="BF51" s="1">
        <v>7446</v>
      </c>
      <c r="BG51" s="1">
        <v>7151</v>
      </c>
      <c r="BH51" s="1">
        <v>7736</v>
      </c>
      <c r="BI51" s="1">
        <v>9192</v>
      </c>
      <c r="BJ51" s="1">
        <v>9152</v>
      </c>
      <c r="BK51" s="1">
        <v>6963</v>
      </c>
      <c r="BL51" s="1">
        <v>6802</v>
      </c>
      <c r="BM51" s="1">
        <v>7182</v>
      </c>
      <c r="BN51" s="1">
        <v>7085</v>
      </c>
      <c r="BO51" s="3">
        <v>87398</v>
      </c>
      <c r="BP51" s="3">
        <f t="shared" si="1"/>
        <v>384253</v>
      </c>
    </row>
    <row r="52" spans="1:69" x14ac:dyDescent="0.2">
      <c r="A52" s="3">
        <v>8</v>
      </c>
      <c r="B52" t="s">
        <v>59</v>
      </c>
      <c r="C52" s="1">
        <v>368</v>
      </c>
      <c r="D52" s="1">
        <v>293</v>
      </c>
      <c r="E52" s="1">
        <v>259</v>
      </c>
      <c r="F52" s="1">
        <v>291</v>
      </c>
      <c r="G52" s="1">
        <v>259</v>
      </c>
      <c r="H52" s="1">
        <v>233</v>
      </c>
      <c r="I52" s="1">
        <v>186</v>
      </c>
      <c r="J52" s="1">
        <v>183</v>
      </c>
      <c r="K52" s="1">
        <v>168</v>
      </c>
      <c r="L52" s="1">
        <v>254</v>
      </c>
      <c r="M52" s="1">
        <v>283</v>
      </c>
      <c r="N52" s="1">
        <v>316</v>
      </c>
      <c r="O52" s="3">
        <v>3093</v>
      </c>
      <c r="P52" s="1">
        <v>507</v>
      </c>
      <c r="Q52" s="1">
        <v>434</v>
      </c>
      <c r="R52" s="1">
        <v>578</v>
      </c>
      <c r="S52" s="1">
        <v>726</v>
      </c>
      <c r="T52" s="1">
        <v>1106</v>
      </c>
      <c r="U52" s="1">
        <v>1728</v>
      </c>
      <c r="V52" s="1">
        <v>2402</v>
      </c>
      <c r="W52" s="1">
        <v>2179</v>
      </c>
      <c r="X52" s="1">
        <v>2229</v>
      </c>
      <c r="Y52" s="1">
        <v>3131</v>
      </c>
      <c r="Z52" s="1">
        <v>2879</v>
      </c>
      <c r="AA52" s="1">
        <v>4738</v>
      </c>
      <c r="AB52" s="3">
        <v>22637</v>
      </c>
      <c r="AC52" s="1">
        <v>4255</v>
      </c>
      <c r="AD52" s="1">
        <v>2156</v>
      </c>
      <c r="AE52" s="1">
        <v>2651</v>
      </c>
      <c r="AF52" s="1">
        <v>3867</v>
      </c>
      <c r="AG52" s="1">
        <v>2660</v>
      </c>
      <c r="AH52" s="1">
        <v>3714</v>
      </c>
      <c r="AI52" s="1">
        <v>3137</v>
      </c>
      <c r="AJ52" s="1">
        <v>3531</v>
      </c>
      <c r="AK52" s="1">
        <v>3614</v>
      </c>
      <c r="AL52" s="1">
        <v>3120</v>
      </c>
      <c r="AM52" s="1">
        <v>3408</v>
      </c>
      <c r="AN52" s="1">
        <v>4807</v>
      </c>
      <c r="AO52" s="3">
        <v>40920</v>
      </c>
      <c r="AP52" s="1">
        <v>2818</v>
      </c>
      <c r="AQ52" s="1">
        <v>4176</v>
      </c>
      <c r="AR52" s="1">
        <v>3932</v>
      </c>
      <c r="AS52" s="1">
        <v>4778</v>
      </c>
      <c r="AT52" s="1">
        <v>4379</v>
      </c>
      <c r="AU52" s="1">
        <v>4779</v>
      </c>
      <c r="AV52" s="1">
        <v>3771</v>
      </c>
      <c r="AW52" s="1">
        <v>4120</v>
      </c>
      <c r="AX52" s="1">
        <v>3768</v>
      </c>
      <c r="AY52" s="1">
        <v>3957</v>
      </c>
      <c r="AZ52" s="1">
        <v>3874</v>
      </c>
      <c r="BA52" s="1">
        <v>4866</v>
      </c>
      <c r="BB52" s="3">
        <v>49218</v>
      </c>
      <c r="BC52" s="1">
        <v>5235</v>
      </c>
      <c r="BD52" s="1">
        <v>3061</v>
      </c>
      <c r="BE52" s="1">
        <v>4020</v>
      </c>
      <c r="BF52" s="1">
        <v>5293</v>
      </c>
      <c r="BG52" s="1">
        <v>4837</v>
      </c>
      <c r="BH52" s="1">
        <v>5271</v>
      </c>
      <c r="BI52" s="1">
        <v>4468</v>
      </c>
      <c r="BJ52" s="1">
        <v>5035</v>
      </c>
      <c r="BK52" s="1">
        <v>4517</v>
      </c>
      <c r="BL52" s="1">
        <v>4779</v>
      </c>
      <c r="BM52" s="1">
        <v>4440</v>
      </c>
      <c r="BN52" s="1">
        <v>6191</v>
      </c>
      <c r="BO52" s="3">
        <v>57147</v>
      </c>
      <c r="BP52" s="3">
        <f t="shared" si="1"/>
        <v>173015</v>
      </c>
    </row>
    <row r="53" spans="1:69" x14ac:dyDescent="0.2">
      <c r="A53" s="3">
        <v>9</v>
      </c>
      <c r="B53" t="s">
        <v>60</v>
      </c>
      <c r="C53" s="1">
        <v>4</v>
      </c>
      <c r="D53" s="1">
        <v>9</v>
      </c>
      <c r="E53" s="1">
        <v>6</v>
      </c>
      <c r="F53" s="1">
        <v>46</v>
      </c>
      <c r="G53" s="1">
        <v>3</v>
      </c>
      <c r="H53" s="1">
        <v>13</v>
      </c>
      <c r="I53" s="1">
        <v>6</v>
      </c>
      <c r="J53" s="1">
        <v>7</v>
      </c>
      <c r="K53" s="1">
        <v>11</v>
      </c>
      <c r="L53" s="1">
        <v>11</v>
      </c>
      <c r="M53" s="1">
        <v>17</v>
      </c>
      <c r="N53" s="1">
        <v>11</v>
      </c>
      <c r="O53" s="3">
        <v>144</v>
      </c>
      <c r="P53" s="1">
        <v>17</v>
      </c>
      <c r="Q53" s="1">
        <v>6</v>
      </c>
      <c r="R53" s="1">
        <v>28</v>
      </c>
      <c r="S53" s="1">
        <v>53</v>
      </c>
      <c r="T53" s="1">
        <v>169</v>
      </c>
      <c r="U53" s="1">
        <v>254</v>
      </c>
      <c r="V53" s="1">
        <v>349</v>
      </c>
      <c r="W53" s="1">
        <v>543</v>
      </c>
      <c r="X53" s="1">
        <v>488</v>
      </c>
      <c r="Y53" s="1">
        <v>486</v>
      </c>
      <c r="Z53" s="1">
        <v>748</v>
      </c>
      <c r="AA53" s="1">
        <v>1657</v>
      </c>
      <c r="AB53" s="3">
        <v>4798</v>
      </c>
      <c r="AC53" s="1">
        <v>603</v>
      </c>
      <c r="AD53" s="1">
        <v>831</v>
      </c>
      <c r="AE53" s="1">
        <v>928</v>
      </c>
      <c r="AF53" s="1">
        <v>740</v>
      </c>
      <c r="AG53" s="1">
        <v>894</v>
      </c>
      <c r="AH53" s="1">
        <v>969</v>
      </c>
      <c r="AI53" s="1">
        <v>1151</v>
      </c>
      <c r="AJ53" s="1">
        <v>1795</v>
      </c>
      <c r="AK53" s="1">
        <v>924</v>
      </c>
      <c r="AL53" s="1">
        <v>902</v>
      </c>
      <c r="AM53" s="1">
        <v>1106</v>
      </c>
      <c r="AN53" s="1">
        <v>2675</v>
      </c>
      <c r="AO53" s="3">
        <v>13518</v>
      </c>
      <c r="AP53" s="1">
        <v>747</v>
      </c>
      <c r="AQ53" s="1">
        <v>1251</v>
      </c>
      <c r="AR53" s="1">
        <v>999</v>
      </c>
      <c r="AS53" s="1">
        <v>857</v>
      </c>
      <c r="AT53" s="1">
        <v>1359</v>
      </c>
      <c r="AU53" s="1">
        <v>1012</v>
      </c>
      <c r="AV53" s="1">
        <v>1599</v>
      </c>
      <c r="AW53" s="1">
        <v>2805</v>
      </c>
      <c r="AX53" s="1">
        <v>1474</v>
      </c>
      <c r="AY53" s="1">
        <v>1452</v>
      </c>
      <c r="AZ53" s="1">
        <v>1891</v>
      </c>
      <c r="BA53" s="1">
        <v>4365</v>
      </c>
      <c r="BB53" s="3">
        <v>19811</v>
      </c>
      <c r="BC53" s="1">
        <v>2095</v>
      </c>
      <c r="BD53" s="1">
        <v>2226</v>
      </c>
      <c r="BE53" s="1">
        <v>1314</v>
      </c>
      <c r="BF53" s="1">
        <v>1789</v>
      </c>
      <c r="BG53" s="1">
        <v>2563</v>
      </c>
      <c r="BH53" s="1">
        <v>3348</v>
      </c>
      <c r="BI53" s="1">
        <v>2267</v>
      </c>
      <c r="BJ53" s="1">
        <v>3659</v>
      </c>
      <c r="BK53" s="1">
        <v>2058</v>
      </c>
      <c r="BL53" s="1">
        <v>2158</v>
      </c>
      <c r="BM53" s="1">
        <v>2735</v>
      </c>
      <c r="BN53" s="1">
        <v>5585</v>
      </c>
      <c r="BO53" s="3">
        <v>31797</v>
      </c>
      <c r="BP53" s="3">
        <f t="shared" si="1"/>
        <v>70068</v>
      </c>
    </row>
    <row r="54" spans="1:69" x14ac:dyDescent="0.2">
      <c r="A54" s="3">
        <v>10</v>
      </c>
      <c r="B54" t="s">
        <v>61</v>
      </c>
      <c r="C54" s="1">
        <v>2</v>
      </c>
      <c r="D54" s="1">
        <v>5</v>
      </c>
      <c r="E54" s="1">
        <v>13</v>
      </c>
      <c r="F54" s="1">
        <v>36</v>
      </c>
      <c r="G54" s="1">
        <v>18</v>
      </c>
      <c r="H54" s="1">
        <v>25</v>
      </c>
      <c r="I54" s="1">
        <v>22</v>
      </c>
      <c r="J54" s="1">
        <v>19</v>
      </c>
      <c r="K54" s="1">
        <v>14</v>
      </c>
      <c r="L54" s="1">
        <v>33</v>
      </c>
      <c r="M54" s="1">
        <v>17</v>
      </c>
      <c r="N54" s="1">
        <v>24</v>
      </c>
      <c r="O54" s="3">
        <v>228</v>
      </c>
      <c r="P54" s="1">
        <v>45</v>
      </c>
      <c r="Q54" s="1">
        <v>42</v>
      </c>
      <c r="R54" s="1">
        <v>56</v>
      </c>
      <c r="S54" s="1">
        <v>84</v>
      </c>
      <c r="T54" s="1">
        <v>223</v>
      </c>
      <c r="U54" s="1">
        <v>319</v>
      </c>
      <c r="V54" s="1">
        <v>830</v>
      </c>
      <c r="W54" s="1">
        <v>549</v>
      </c>
      <c r="X54" s="1">
        <v>568</v>
      </c>
      <c r="Y54" s="1">
        <v>648</v>
      </c>
      <c r="Z54" s="1">
        <v>913</v>
      </c>
      <c r="AA54" s="1">
        <v>668</v>
      </c>
      <c r="AB54" s="3">
        <v>4945</v>
      </c>
      <c r="AC54" s="1">
        <v>772</v>
      </c>
      <c r="AD54" s="1">
        <v>937</v>
      </c>
      <c r="AE54" s="1">
        <v>844</v>
      </c>
      <c r="AF54" s="1">
        <v>925</v>
      </c>
      <c r="AG54" s="1">
        <v>1382</v>
      </c>
      <c r="AH54" s="1">
        <v>1038</v>
      </c>
      <c r="AI54" s="1">
        <v>1271</v>
      </c>
      <c r="AJ54" s="1">
        <v>1083</v>
      </c>
      <c r="AK54" s="1">
        <v>1056</v>
      </c>
      <c r="AL54" s="1">
        <v>1065</v>
      </c>
      <c r="AM54" s="1">
        <v>1410</v>
      </c>
      <c r="AN54" s="1">
        <v>828</v>
      </c>
      <c r="AO54" s="3">
        <v>12611</v>
      </c>
      <c r="AP54" s="1">
        <v>737</v>
      </c>
      <c r="AQ54" s="1">
        <v>790</v>
      </c>
      <c r="AR54" s="1">
        <v>778</v>
      </c>
      <c r="AS54" s="1">
        <v>923</v>
      </c>
      <c r="AT54" s="1">
        <v>935</v>
      </c>
      <c r="AU54" s="1">
        <v>822</v>
      </c>
      <c r="AV54" s="1">
        <v>995</v>
      </c>
      <c r="AW54" s="1">
        <v>876</v>
      </c>
      <c r="AX54" s="1">
        <v>1039</v>
      </c>
      <c r="AY54" s="1">
        <v>825</v>
      </c>
      <c r="AZ54" s="1">
        <v>1037</v>
      </c>
      <c r="BA54" s="1">
        <v>740</v>
      </c>
      <c r="BB54" s="3">
        <v>10497</v>
      </c>
      <c r="BC54" s="1">
        <v>725</v>
      </c>
      <c r="BD54" s="1">
        <v>762</v>
      </c>
      <c r="BE54" s="1">
        <v>741</v>
      </c>
      <c r="BF54" s="1">
        <v>892</v>
      </c>
      <c r="BG54" s="1">
        <v>804</v>
      </c>
      <c r="BH54" s="1">
        <v>798</v>
      </c>
      <c r="BI54" s="1">
        <v>1031</v>
      </c>
      <c r="BJ54" s="1">
        <v>986</v>
      </c>
      <c r="BK54" s="1">
        <v>813</v>
      </c>
      <c r="BL54" s="1">
        <v>1104</v>
      </c>
      <c r="BM54" s="1">
        <v>1393</v>
      </c>
      <c r="BN54" s="1">
        <v>900</v>
      </c>
      <c r="BO54" s="3">
        <v>10949</v>
      </c>
      <c r="BP54" s="3">
        <f t="shared" si="1"/>
        <v>39230</v>
      </c>
    </row>
    <row r="55" spans="1:69" x14ac:dyDescent="0.2">
      <c r="A55" s="3">
        <v>11</v>
      </c>
      <c r="B55" t="s">
        <v>62</v>
      </c>
      <c r="C55" s="1">
        <v>1</v>
      </c>
      <c r="D55" s="1">
        <v>0</v>
      </c>
      <c r="E55" s="1">
        <v>0</v>
      </c>
      <c r="F55" s="1">
        <v>3</v>
      </c>
      <c r="G55" s="1">
        <v>0</v>
      </c>
      <c r="H55" s="1">
        <v>1</v>
      </c>
      <c r="I55" s="1">
        <v>0</v>
      </c>
      <c r="J55" s="1">
        <v>0</v>
      </c>
      <c r="K55" s="1">
        <v>0</v>
      </c>
      <c r="L55" s="1">
        <v>0</v>
      </c>
      <c r="M55" s="1">
        <v>1</v>
      </c>
      <c r="N55" s="1">
        <v>1</v>
      </c>
      <c r="O55" s="3">
        <v>7</v>
      </c>
      <c r="P55" s="1">
        <v>6</v>
      </c>
      <c r="Q55" s="1">
        <v>3</v>
      </c>
      <c r="R55" s="1">
        <v>14</v>
      </c>
      <c r="S55" s="1">
        <v>12</v>
      </c>
      <c r="T55" s="1">
        <v>41</v>
      </c>
      <c r="U55" s="1">
        <v>83</v>
      </c>
      <c r="V55" s="1">
        <v>215</v>
      </c>
      <c r="W55" s="1">
        <v>78</v>
      </c>
      <c r="X55" s="1">
        <v>112</v>
      </c>
      <c r="Y55" s="1">
        <v>191</v>
      </c>
      <c r="Z55" s="1">
        <v>168</v>
      </c>
      <c r="AA55" s="1">
        <v>179</v>
      </c>
      <c r="AB55" s="3">
        <v>1102</v>
      </c>
      <c r="AC55" s="1">
        <v>173</v>
      </c>
      <c r="AD55" s="1">
        <v>218</v>
      </c>
      <c r="AE55" s="1">
        <v>231</v>
      </c>
      <c r="AF55" s="1">
        <v>211</v>
      </c>
      <c r="AG55" s="1">
        <v>317</v>
      </c>
      <c r="AH55" s="1">
        <v>213</v>
      </c>
      <c r="AI55" s="1">
        <v>334</v>
      </c>
      <c r="AJ55" s="1">
        <v>495</v>
      </c>
      <c r="AK55" s="1">
        <v>310</v>
      </c>
      <c r="AL55" s="1">
        <v>368</v>
      </c>
      <c r="AM55" s="1">
        <v>322</v>
      </c>
      <c r="AN55" s="1">
        <v>204</v>
      </c>
      <c r="AO55" s="3">
        <v>3396</v>
      </c>
      <c r="AP55" s="1">
        <v>169</v>
      </c>
      <c r="AQ55" s="1">
        <v>211</v>
      </c>
      <c r="AR55" s="1">
        <v>198</v>
      </c>
      <c r="AS55" s="1">
        <v>261</v>
      </c>
      <c r="AT55" s="1">
        <v>255</v>
      </c>
      <c r="AU55" s="1">
        <v>283</v>
      </c>
      <c r="AV55" s="1">
        <v>268</v>
      </c>
      <c r="AW55" s="1">
        <v>312</v>
      </c>
      <c r="AX55" s="1">
        <v>338</v>
      </c>
      <c r="AY55" s="1">
        <v>240</v>
      </c>
      <c r="AZ55" s="1">
        <v>214</v>
      </c>
      <c r="BA55" s="1">
        <v>202</v>
      </c>
      <c r="BB55" s="3">
        <v>2951</v>
      </c>
      <c r="BC55" s="1">
        <v>137</v>
      </c>
      <c r="BD55" s="1">
        <v>235</v>
      </c>
      <c r="BE55" s="1">
        <v>185</v>
      </c>
      <c r="BF55" s="1">
        <v>425</v>
      </c>
      <c r="BG55" s="1">
        <v>342</v>
      </c>
      <c r="BH55" s="1">
        <v>270</v>
      </c>
      <c r="BI55" s="1">
        <v>335</v>
      </c>
      <c r="BJ55" s="1">
        <v>412</v>
      </c>
      <c r="BK55" s="1">
        <v>268</v>
      </c>
      <c r="BL55" s="1">
        <v>270</v>
      </c>
      <c r="BM55" s="1">
        <v>298</v>
      </c>
      <c r="BN55" s="1">
        <v>224</v>
      </c>
      <c r="BO55" s="3">
        <v>3401</v>
      </c>
      <c r="BP55" s="3">
        <f t="shared" si="1"/>
        <v>10857</v>
      </c>
    </row>
    <row r="56" spans="1:69" s="2" customFormat="1" x14ac:dyDescent="0.2">
      <c r="A56" s="3" t="s">
        <v>300</v>
      </c>
      <c r="B56" s="2" t="s">
        <v>63</v>
      </c>
      <c r="C56" s="3">
        <v>117047</v>
      </c>
      <c r="D56" s="3">
        <v>92618</v>
      </c>
      <c r="E56" s="3">
        <v>101868</v>
      </c>
      <c r="F56" s="3">
        <v>89107</v>
      </c>
      <c r="G56" s="3">
        <v>120646</v>
      </c>
      <c r="H56" s="3">
        <v>106020</v>
      </c>
      <c r="I56" s="3">
        <v>114187</v>
      </c>
      <c r="J56" s="3">
        <v>110269</v>
      </c>
      <c r="K56" s="3">
        <v>109417</v>
      </c>
      <c r="L56" s="3">
        <v>123666</v>
      </c>
      <c r="M56" s="3">
        <v>124565</v>
      </c>
      <c r="N56" s="3">
        <v>138304</v>
      </c>
      <c r="O56" s="3">
        <v>1347714</v>
      </c>
      <c r="P56" s="3">
        <v>114322</v>
      </c>
      <c r="Q56" s="3">
        <v>94689</v>
      </c>
      <c r="R56" s="3">
        <v>117122</v>
      </c>
      <c r="S56" s="3">
        <v>141865</v>
      </c>
      <c r="T56" s="3">
        <v>197782</v>
      </c>
      <c r="U56" s="3">
        <v>248377</v>
      </c>
      <c r="V56" s="3">
        <v>308210</v>
      </c>
      <c r="W56" s="3">
        <v>306617</v>
      </c>
      <c r="X56" s="3">
        <v>343158</v>
      </c>
      <c r="Y56" s="3">
        <v>353953</v>
      </c>
      <c r="Z56" s="3">
        <v>355196</v>
      </c>
      <c r="AA56" s="3">
        <v>530587</v>
      </c>
      <c r="AB56" s="3">
        <v>3111878</v>
      </c>
      <c r="AC56" s="3">
        <v>393952</v>
      </c>
      <c r="AD56" s="3">
        <v>349905</v>
      </c>
      <c r="AE56" s="3">
        <v>411333</v>
      </c>
      <c r="AF56" s="3">
        <v>383083</v>
      </c>
      <c r="AG56" s="3">
        <v>400811</v>
      </c>
      <c r="AH56" s="3">
        <v>475411</v>
      </c>
      <c r="AI56" s="3">
        <v>408684</v>
      </c>
      <c r="AJ56" s="3">
        <v>431215</v>
      </c>
      <c r="AK56" s="3">
        <v>399544</v>
      </c>
      <c r="AL56" s="3">
        <v>364757</v>
      </c>
      <c r="AM56" s="3">
        <v>400995</v>
      </c>
      <c r="AN56" s="3">
        <v>557646</v>
      </c>
      <c r="AO56" s="3">
        <v>4977336</v>
      </c>
      <c r="AP56" s="3">
        <v>369594</v>
      </c>
      <c r="AQ56" s="3">
        <v>471431</v>
      </c>
      <c r="AR56" s="3">
        <v>424441</v>
      </c>
      <c r="AS56" s="3">
        <v>433081</v>
      </c>
      <c r="AT56" s="3">
        <v>455273</v>
      </c>
      <c r="AU56" s="3">
        <v>502022</v>
      </c>
      <c r="AV56" s="3">
        <v>443625</v>
      </c>
      <c r="AW56" s="3">
        <v>487405</v>
      </c>
      <c r="AX56" s="3">
        <v>498232</v>
      </c>
      <c r="AY56" s="3">
        <v>468551</v>
      </c>
      <c r="AZ56" s="3">
        <v>458222</v>
      </c>
      <c r="BA56" s="3">
        <v>560992</v>
      </c>
      <c r="BB56" s="3">
        <v>5572869</v>
      </c>
      <c r="BC56" s="3">
        <v>490570</v>
      </c>
      <c r="BD56" s="3">
        <v>444498</v>
      </c>
      <c r="BE56" s="3">
        <v>393899</v>
      </c>
      <c r="BF56" s="3">
        <v>426933</v>
      </c>
      <c r="BG56" s="3">
        <v>547521</v>
      </c>
      <c r="BH56" s="3">
        <v>623206</v>
      </c>
      <c r="BI56" s="3">
        <v>523390</v>
      </c>
      <c r="BJ56" s="3">
        <v>565543</v>
      </c>
      <c r="BK56" s="3">
        <v>578224</v>
      </c>
      <c r="BL56" s="3">
        <v>555700</v>
      </c>
      <c r="BM56" s="3">
        <v>529783</v>
      </c>
      <c r="BN56" s="3">
        <v>677674</v>
      </c>
      <c r="BO56" s="3">
        <v>6356941</v>
      </c>
      <c r="BP56" s="3"/>
      <c r="BQ56"/>
    </row>
    <row r="57" spans="1:69" x14ac:dyDescent="0.2">
      <c r="A57" s="3">
        <v>12</v>
      </c>
      <c r="B57" t="s">
        <v>64</v>
      </c>
      <c r="C57" s="1">
        <v>1353</v>
      </c>
      <c r="D57" s="1">
        <v>2703</v>
      </c>
      <c r="E57" s="1">
        <v>8272</v>
      </c>
      <c r="F57" s="1">
        <v>9639</v>
      </c>
      <c r="G57" s="1">
        <v>4961</v>
      </c>
      <c r="H57" s="1">
        <v>6421</v>
      </c>
      <c r="I57" s="1">
        <v>2941</v>
      </c>
      <c r="J57" s="1">
        <v>897</v>
      </c>
      <c r="K57" s="1">
        <v>2119</v>
      </c>
      <c r="L57" s="1">
        <v>6005</v>
      </c>
      <c r="M57" s="1">
        <v>4889</v>
      </c>
      <c r="N57" s="1">
        <v>4513</v>
      </c>
      <c r="O57" s="3">
        <v>54713</v>
      </c>
      <c r="P57" s="1">
        <v>3768</v>
      </c>
      <c r="Q57" s="1">
        <v>4307</v>
      </c>
      <c r="R57" s="1">
        <v>6666</v>
      </c>
      <c r="S57" s="1">
        <v>6983</v>
      </c>
      <c r="T57" s="1">
        <v>8702</v>
      </c>
      <c r="U57" s="1">
        <v>13569</v>
      </c>
      <c r="V57" s="1">
        <v>16228</v>
      </c>
      <c r="W57" s="1">
        <v>16441</v>
      </c>
      <c r="X57" s="1">
        <v>18239</v>
      </c>
      <c r="Y57" s="1">
        <v>19846</v>
      </c>
      <c r="Z57" s="1">
        <v>22451</v>
      </c>
      <c r="AA57" s="1">
        <v>32178</v>
      </c>
      <c r="AB57" s="3">
        <v>169378</v>
      </c>
      <c r="AC57" s="1">
        <v>30036</v>
      </c>
      <c r="AD57" s="1">
        <v>36434</v>
      </c>
      <c r="AE57" s="1">
        <v>54549</v>
      </c>
      <c r="AF57" s="1">
        <v>55090</v>
      </c>
      <c r="AG57" s="1">
        <v>64056</v>
      </c>
      <c r="AH57" s="1">
        <v>62499</v>
      </c>
      <c r="AI57" s="1">
        <v>84955</v>
      </c>
      <c r="AJ57" s="1">
        <v>85198</v>
      </c>
      <c r="AK57" s="1">
        <v>88758</v>
      </c>
      <c r="AL57" s="1">
        <v>75326</v>
      </c>
      <c r="AM57" s="1">
        <v>75486</v>
      </c>
      <c r="AN57" s="1">
        <v>75537</v>
      </c>
      <c r="AO57" s="3">
        <v>787924</v>
      </c>
      <c r="AP57" s="1">
        <v>81691</v>
      </c>
      <c r="AQ57" s="1">
        <v>110320</v>
      </c>
      <c r="AR57" s="1">
        <v>94364</v>
      </c>
      <c r="AS57" s="1">
        <v>85957</v>
      </c>
      <c r="AT57" s="1">
        <v>98631</v>
      </c>
      <c r="AU57" s="1">
        <v>98228</v>
      </c>
      <c r="AV57" s="1">
        <v>126108</v>
      </c>
      <c r="AW57" s="1">
        <v>126084</v>
      </c>
      <c r="AX57" s="1">
        <v>114260</v>
      </c>
      <c r="AY57" s="1">
        <v>95299</v>
      </c>
      <c r="AZ57" s="1">
        <v>85255</v>
      </c>
      <c r="BA57" s="1">
        <v>81337</v>
      </c>
      <c r="BB57" s="3">
        <v>1197534</v>
      </c>
      <c r="BC57" s="1">
        <v>111226</v>
      </c>
      <c r="BD57" s="1">
        <v>89302</v>
      </c>
      <c r="BE57" s="1">
        <v>84497</v>
      </c>
      <c r="BF57" s="1">
        <v>106553</v>
      </c>
      <c r="BG57" s="1">
        <v>114706</v>
      </c>
      <c r="BH57" s="1">
        <v>113520</v>
      </c>
      <c r="BI57" s="1">
        <v>144531</v>
      </c>
      <c r="BJ57" s="1">
        <v>140667</v>
      </c>
      <c r="BK57" s="1">
        <v>113264</v>
      </c>
      <c r="BL57" s="1">
        <v>119617</v>
      </c>
      <c r="BM57" s="1">
        <v>105505</v>
      </c>
      <c r="BN57" s="1">
        <v>100686</v>
      </c>
      <c r="BO57" s="3">
        <v>1344074</v>
      </c>
      <c r="BP57" s="3">
        <f t="shared" si="1"/>
        <v>3553623</v>
      </c>
    </row>
    <row r="58" spans="1:69" x14ac:dyDescent="0.2">
      <c r="A58" s="3">
        <v>13</v>
      </c>
      <c r="B58" t="s">
        <v>65</v>
      </c>
      <c r="C58" s="1">
        <v>349</v>
      </c>
      <c r="D58" s="1">
        <v>558</v>
      </c>
      <c r="E58" s="1">
        <v>539</v>
      </c>
      <c r="F58" s="1">
        <v>826</v>
      </c>
      <c r="G58" s="1">
        <v>244</v>
      </c>
      <c r="H58" s="1">
        <v>211</v>
      </c>
      <c r="I58" s="1">
        <v>176</v>
      </c>
      <c r="J58" s="1">
        <v>165</v>
      </c>
      <c r="K58" s="1">
        <v>184</v>
      </c>
      <c r="L58" s="1">
        <v>949</v>
      </c>
      <c r="M58" s="1">
        <v>1301</v>
      </c>
      <c r="N58" s="1">
        <v>1168</v>
      </c>
      <c r="O58" s="3">
        <v>6670</v>
      </c>
      <c r="P58" s="1">
        <v>1253</v>
      </c>
      <c r="Q58" s="1">
        <v>1064</v>
      </c>
      <c r="R58" s="1">
        <v>1832</v>
      </c>
      <c r="S58" s="1">
        <v>7274</v>
      </c>
      <c r="T58" s="1">
        <v>18011</v>
      </c>
      <c r="U58" s="1">
        <v>26892</v>
      </c>
      <c r="V58" s="1">
        <v>29307</v>
      </c>
      <c r="W58" s="1">
        <v>32192</v>
      </c>
      <c r="X58" s="1">
        <v>35160</v>
      </c>
      <c r="Y58" s="1">
        <v>38818</v>
      </c>
      <c r="Z58" s="1">
        <v>38234</v>
      </c>
      <c r="AA58" s="1">
        <v>51777</v>
      </c>
      <c r="AB58" s="3">
        <v>281814</v>
      </c>
      <c r="AC58" s="1">
        <v>34363</v>
      </c>
      <c r="AD58" s="1">
        <v>37938</v>
      </c>
      <c r="AE58" s="1">
        <v>40989</v>
      </c>
      <c r="AF58" s="1">
        <v>48747</v>
      </c>
      <c r="AG58" s="1">
        <v>62680</v>
      </c>
      <c r="AH58" s="1">
        <v>68853</v>
      </c>
      <c r="AI58" s="1">
        <v>54906</v>
      </c>
      <c r="AJ58" s="1">
        <v>48472</v>
      </c>
      <c r="AK58" s="1">
        <v>50773</v>
      </c>
      <c r="AL58" s="1">
        <v>49132</v>
      </c>
      <c r="AM58" s="1">
        <v>47667</v>
      </c>
      <c r="AN58" s="1">
        <v>61919</v>
      </c>
      <c r="AO58" s="3">
        <v>606439</v>
      </c>
      <c r="AP58" s="1">
        <v>42713</v>
      </c>
      <c r="AQ58" s="1">
        <v>48778</v>
      </c>
      <c r="AR58" s="1">
        <v>55112</v>
      </c>
      <c r="AS58" s="1">
        <v>55621</v>
      </c>
      <c r="AT58" s="1">
        <v>81095</v>
      </c>
      <c r="AU58" s="1">
        <v>75212</v>
      </c>
      <c r="AV58" s="1">
        <v>59172</v>
      </c>
      <c r="AW58" s="1">
        <v>57266</v>
      </c>
      <c r="AX58" s="1">
        <v>53495</v>
      </c>
      <c r="AY58" s="1">
        <v>56210</v>
      </c>
      <c r="AZ58" s="1">
        <v>58394</v>
      </c>
      <c r="BA58" s="1">
        <v>67139</v>
      </c>
      <c r="BB58" s="3">
        <v>710207</v>
      </c>
      <c r="BC58" s="1">
        <v>47600</v>
      </c>
      <c r="BD58" s="1">
        <v>49028</v>
      </c>
      <c r="BE58" s="1">
        <v>54564</v>
      </c>
      <c r="BF58" s="1">
        <v>61694</v>
      </c>
      <c r="BG58" s="1">
        <v>84381</v>
      </c>
      <c r="BH58" s="1">
        <v>80992</v>
      </c>
      <c r="BI58" s="1">
        <v>59775</v>
      </c>
      <c r="BJ58" s="1">
        <v>54902</v>
      </c>
      <c r="BK58" s="1">
        <v>55809</v>
      </c>
      <c r="BL58" s="1">
        <v>55387</v>
      </c>
      <c r="BM58" s="1">
        <v>57486</v>
      </c>
      <c r="BN58" s="1">
        <v>72872</v>
      </c>
      <c r="BO58" s="3">
        <v>734490</v>
      </c>
      <c r="BP58" s="3">
        <f t="shared" si="1"/>
        <v>2339620</v>
      </c>
    </row>
    <row r="59" spans="1:69" x14ac:dyDescent="0.2">
      <c r="A59" s="3">
        <v>14</v>
      </c>
      <c r="B59" t="s">
        <v>66</v>
      </c>
      <c r="C59" s="1">
        <v>207</v>
      </c>
      <c r="D59" s="1">
        <v>676</v>
      </c>
      <c r="E59" s="1">
        <v>842</v>
      </c>
      <c r="F59" s="1">
        <v>1119</v>
      </c>
      <c r="G59" s="1">
        <v>799</v>
      </c>
      <c r="H59" s="1">
        <v>813</v>
      </c>
      <c r="I59" s="1">
        <v>280</v>
      </c>
      <c r="J59" s="1">
        <v>164</v>
      </c>
      <c r="K59" s="1">
        <v>364</v>
      </c>
      <c r="L59" s="1">
        <v>1281</v>
      </c>
      <c r="M59" s="1">
        <v>1681</v>
      </c>
      <c r="N59" s="1">
        <v>1271</v>
      </c>
      <c r="O59" s="3">
        <v>9497</v>
      </c>
      <c r="P59" s="1">
        <v>1135</v>
      </c>
      <c r="Q59" s="1">
        <v>1229</v>
      </c>
      <c r="R59" s="1">
        <v>1655</v>
      </c>
      <c r="S59" s="1">
        <v>3129</v>
      </c>
      <c r="T59" s="1">
        <v>5537</v>
      </c>
      <c r="U59" s="1">
        <v>8062</v>
      </c>
      <c r="V59" s="1">
        <v>13054</v>
      </c>
      <c r="W59" s="1">
        <v>13778</v>
      </c>
      <c r="X59" s="1">
        <v>14756</v>
      </c>
      <c r="Y59" s="1">
        <v>18487</v>
      </c>
      <c r="Z59" s="1">
        <v>19238</v>
      </c>
      <c r="AA59" s="1">
        <v>22161</v>
      </c>
      <c r="AB59" s="3">
        <v>122221</v>
      </c>
      <c r="AC59" s="1">
        <v>27405</v>
      </c>
      <c r="AD59" s="1">
        <v>24817</v>
      </c>
      <c r="AE59" s="1">
        <v>21512</v>
      </c>
      <c r="AF59" s="1">
        <v>18436</v>
      </c>
      <c r="AG59" s="1">
        <v>26271</v>
      </c>
      <c r="AH59" s="1">
        <v>27036</v>
      </c>
      <c r="AI59" s="1">
        <v>38225</v>
      </c>
      <c r="AJ59" s="1">
        <v>36342</v>
      </c>
      <c r="AK59" s="1">
        <v>36069</v>
      </c>
      <c r="AL59" s="1">
        <v>31018</v>
      </c>
      <c r="AM59" s="1">
        <v>29216</v>
      </c>
      <c r="AN59" s="1">
        <v>30838</v>
      </c>
      <c r="AO59" s="3">
        <v>347185</v>
      </c>
      <c r="AP59" s="1">
        <v>39195</v>
      </c>
      <c r="AQ59" s="1">
        <v>33617</v>
      </c>
      <c r="AR59" s="1">
        <v>24972</v>
      </c>
      <c r="AS59" s="1">
        <v>28160</v>
      </c>
      <c r="AT59" s="1">
        <v>32031</v>
      </c>
      <c r="AU59" s="1">
        <v>33439</v>
      </c>
      <c r="AV59" s="1">
        <v>46697</v>
      </c>
      <c r="AW59" s="1">
        <v>42835</v>
      </c>
      <c r="AX59" s="1">
        <v>38321</v>
      </c>
      <c r="AY59" s="1">
        <v>36783</v>
      </c>
      <c r="AZ59" s="1">
        <v>37627</v>
      </c>
      <c r="BA59" s="1">
        <v>42298</v>
      </c>
      <c r="BB59" s="3">
        <v>435975</v>
      </c>
      <c r="BC59" s="1">
        <v>47814</v>
      </c>
      <c r="BD59" s="1">
        <v>39362</v>
      </c>
      <c r="BE59" s="1">
        <v>27278</v>
      </c>
      <c r="BF59" s="1">
        <v>33281</v>
      </c>
      <c r="BG59" s="1">
        <v>38581</v>
      </c>
      <c r="BH59" s="1">
        <v>41529</v>
      </c>
      <c r="BI59" s="1">
        <v>54261</v>
      </c>
      <c r="BJ59" s="1">
        <v>49382</v>
      </c>
      <c r="BK59" s="1">
        <v>41605</v>
      </c>
      <c r="BL59" s="1">
        <v>46778</v>
      </c>
      <c r="BM59" s="1">
        <v>38153</v>
      </c>
      <c r="BN59" s="1">
        <v>38838</v>
      </c>
      <c r="BO59" s="3">
        <v>496862</v>
      </c>
      <c r="BP59" s="3">
        <f t="shared" si="1"/>
        <v>1411740</v>
      </c>
    </row>
    <row r="60" spans="1:69" x14ac:dyDescent="0.2">
      <c r="A60" s="3">
        <v>15</v>
      </c>
      <c r="B60" t="s">
        <v>67</v>
      </c>
      <c r="C60" s="1">
        <v>79</v>
      </c>
      <c r="D60" s="1">
        <v>422</v>
      </c>
      <c r="E60" s="1">
        <v>284</v>
      </c>
      <c r="F60" s="1">
        <v>628</v>
      </c>
      <c r="G60" s="1">
        <v>929</v>
      </c>
      <c r="H60" s="1">
        <v>731</v>
      </c>
      <c r="I60" s="1">
        <v>88</v>
      </c>
      <c r="J60" s="1">
        <v>37</v>
      </c>
      <c r="K60" s="1">
        <v>288</v>
      </c>
      <c r="L60" s="1">
        <v>737</v>
      </c>
      <c r="M60" s="1">
        <v>821</v>
      </c>
      <c r="N60" s="1">
        <v>908</v>
      </c>
      <c r="O60" s="3">
        <v>5952</v>
      </c>
      <c r="P60" s="1">
        <v>1022</v>
      </c>
      <c r="Q60" s="1">
        <v>783</v>
      </c>
      <c r="R60" s="1">
        <v>1399</v>
      </c>
      <c r="S60" s="1">
        <v>2587</v>
      </c>
      <c r="T60" s="1">
        <v>3733</v>
      </c>
      <c r="U60" s="1">
        <v>5218</v>
      </c>
      <c r="V60" s="1">
        <v>7713</v>
      </c>
      <c r="W60" s="1">
        <v>9507</v>
      </c>
      <c r="X60" s="1">
        <v>8948</v>
      </c>
      <c r="Y60" s="1">
        <v>9237</v>
      </c>
      <c r="Z60" s="1">
        <v>10631</v>
      </c>
      <c r="AA60" s="1">
        <v>13135</v>
      </c>
      <c r="AB60" s="3">
        <v>73913</v>
      </c>
      <c r="AC60" s="1">
        <v>12256</v>
      </c>
      <c r="AD60" s="1">
        <v>15841</v>
      </c>
      <c r="AE60" s="1">
        <v>17016</v>
      </c>
      <c r="AF60" s="1">
        <v>13090</v>
      </c>
      <c r="AG60" s="1">
        <v>18368</v>
      </c>
      <c r="AH60" s="1">
        <v>17850</v>
      </c>
      <c r="AI60" s="1">
        <v>23299</v>
      </c>
      <c r="AJ60" s="1">
        <v>34878</v>
      </c>
      <c r="AK60" s="1">
        <v>29611</v>
      </c>
      <c r="AL60" s="1">
        <v>23157</v>
      </c>
      <c r="AM60" s="1">
        <v>22940</v>
      </c>
      <c r="AN60" s="1">
        <v>23560</v>
      </c>
      <c r="AO60" s="3">
        <v>251866</v>
      </c>
      <c r="AP60" s="1">
        <v>19322</v>
      </c>
      <c r="AQ60" s="1">
        <v>26585</v>
      </c>
      <c r="AR60" s="1">
        <v>26954</v>
      </c>
      <c r="AS60" s="1">
        <v>21021</v>
      </c>
      <c r="AT60" s="1">
        <v>23586</v>
      </c>
      <c r="AU60" s="1">
        <v>25972</v>
      </c>
      <c r="AV60" s="1">
        <v>29769</v>
      </c>
      <c r="AW60" s="1">
        <v>44022</v>
      </c>
      <c r="AX60" s="1">
        <v>37396</v>
      </c>
      <c r="AY60" s="1">
        <v>28367</v>
      </c>
      <c r="AZ60" s="1">
        <v>26124</v>
      </c>
      <c r="BA60" s="1">
        <v>29782</v>
      </c>
      <c r="BB60" s="3">
        <v>338900</v>
      </c>
      <c r="BC60" s="1">
        <v>22041</v>
      </c>
      <c r="BD60" s="1">
        <v>30450</v>
      </c>
      <c r="BE60" s="1">
        <v>29533</v>
      </c>
      <c r="BF60" s="1">
        <v>23534</v>
      </c>
      <c r="BG60" s="1">
        <v>25758</v>
      </c>
      <c r="BH60" s="1">
        <v>29569</v>
      </c>
      <c r="BI60" s="1">
        <v>34433</v>
      </c>
      <c r="BJ60" s="1">
        <v>50977</v>
      </c>
      <c r="BK60" s="1">
        <v>39664</v>
      </c>
      <c r="BL60" s="1">
        <v>33001</v>
      </c>
      <c r="BM60" s="1">
        <v>28149</v>
      </c>
      <c r="BN60" s="1">
        <v>32970</v>
      </c>
      <c r="BO60" s="3">
        <v>380079</v>
      </c>
      <c r="BP60" s="3">
        <f t="shared" si="1"/>
        <v>1050710</v>
      </c>
    </row>
    <row r="61" spans="1:69" x14ac:dyDescent="0.2">
      <c r="A61" s="3">
        <v>16</v>
      </c>
      <c r="B61" t="s">
        <v>68</v>
      </c>
      <c r="C61" s="1">
        <v>27</v>
      </c>
      <c r="D61" s="1">
        <v>63</v>
      </c>
      <c r="E61" s="1">
        <v>62</v>
      </c>
      <c r="F61" s="1">
        <v>101</v>
      </c>
      <c r="G61" s="1">
        <v>107</v>
      </c>
      <c r="H61" s="1">
        <v>117</v>
      </c>
      <c r="I61" s="1">
        <v>40</v>
      </c>
      <c r="J61" s="1">
        <v>17</v>
      </c>
      <c r="K61" s="1">
        <v>55</v>
      </c>
      <c r="L61" s="1">
        <v>122</v>
      </c>
      <c r="M61" s="1">
        <v>278</v>
      </c>
      <c r="N61" s="1">
        <v>133</v>
      </c>
      <c r="O61" s="3">
        <v>1122</v>
      </c>
      <c r="P61" s="1">
        <v>146</v>
      </c>
      <c r="Q61" s="1">
        <v>147</v>
      </c>
      <c r="R61" s="1">
        <v>317</v>
      </c>
      <c r="S61" s="1">
        <v>814</v>
      </c>
      <c r="T61" s="1">
        <v>1290</v>
      </c>
      <c r="U61" s="1">
        <v>1300</v>
      </c>
      <c r="V61" s="1">
        <v>1594</v>
      </c>
      <c r="W61" s="1">
        <v>1686</v>
      </c>
      <c r="X61" s="1">
        <v>1683</v>
      </c>
      <c r="Y61" s="1">
        <v>1679</v>
      </c>
      <c r="Z61" s="1">
        <v>1934</v>
      </c>
      <c r="AA61" s="1">
        <v>1834</v>
      </c>
      <c r="AB61" s="3">
        <v>14424</v>
      </c>
      <c r="AC61" s="1">
        <v>2323</v>
      </c>
      <c r="AD61" s="1">
        <v>1673</v>
      </c>
      <c r="AE61" s="1">
        <v>2093</v>
      </c>
      <c r="AF61" s="1">
        <v>2278</v>
      </c>
      <c r="AG61" s="1">
        <v>2339</v>
      </c>
      <c r="AH61" s="1">
        <v>3713</v>
      </c>
      <c r="AI61" s="1">
        <v>2448</v>
      </c>
      <c r="AJ61" s="1">
        <v>2719</v>
      </c>
      <c r="AK61" s="1">
        <v>3041</v>
      </c>
      <c r="AL61" s="1">
        <v>2681</v>
      </c>
      <c r="AM61" s="1">
        <v>2650</v>
      </c>
      <c r="AN61" s="1">
        <v>2475</v>
      </c>
      <c r="AO61" s="3">
        <v>30433</v>
      </c>
      <c r="AP61" s="1">
        <v>3625</v>
      </c>
      <c r="AQ61" s="1">
        <v>3047</v>
      </c>
      <c r="AR61" s="1">
        <v>2524</v>
      </c>
      <c r="AS61" s="1">
        <v>5411</v>
      </c>
      <c r="AT61" s="1">
        <v>3695</v>
      </c>
      <c r="AU61" s="1">
        <v>5874</v>
      </c>
      <c r="AV61" s="1">
        <v>4467</v>
      </c>
      <c r="AW61" s="1">
        <v>4468</v>
      </c>
      <c r="AX61" s="1">
        <v>4970</v>
      </c>
      <c r="AY61" s="1">
        <v>4333</v>
      </c>
      <c r="AZ61" s="1">
        <v>4126</v>
      </c>
      <c r="BA61" s="1">
        <v>3474</v>
      </c>
      <c r="BB61" s="3">
        <v>50014</v>
      </c>
      <c r="BC61" s="1">
        <v>4796</v>
      </c>
      <c r="BD61" s="1">
        <v>4054</v>
      </c>
      <c r="BE61" s="1">
        <v>4913</v>
      </c>
      <c r="BF61" s="1">
        <v>4538</v>
      </c>
      <c r="BG61" s="1">
        <v>6668</v>
      </c>
      <c r="BH61" s="1">
        <v>7714</v>
      </c>
      <c r="BI61" s="1">
        <v>6146</v>
      </c>
      <c r="BJ61" s="1">
        <v>6073</v>
      </c>
      <c r="BK61" s="1">
        <v>6945</v>
      </c>
      <c r="BL61" s="1">
        <v>5527</v>
      </c>
      <c r="BM61" s="1">
        <v>5349</v>
      </c>
      <c r="BN61" s="1">
        <v>4179</v>
      </c>
      <c r="BO61" s="3">
        <v>66902</v>
      </c>
      <c r="BP61" s="3">
        <f t="shared" si="1"/>
        <v>162895</v>
      </c>
    </row>
    <row r="62" spans="1:69" x14ac:dyDescent="0.2">
      <c r="A62" s="3">
        <v>17</v>
      </c>
      <c r="B62" t="s">
        <v>69</v>
      </c>
      <c r="C62" s="1">
        <v>0</v>
      </c>
      <c r="D62" s="1">
        <v>0</v>
      </c>
      <c r="E62" s="1">
        <v>1</v>
      </c>
      <c r="F62" s="1">
        <v>0</v>
      </c>
      <c r="G62" s="1">
        <v>2</v>
      </c>
      <c r="H62" s="1">
        <v>0</v>
      </c>
      <c r="I62" s="1">
        <v>0</v>
      </c>
      <c r="J62" s="1">
        <v>0</v>
      </c>
      <c r="K62" s="1">
        <v>0</v>
      </c>
      <c r="L62" s="1">
        <v>4</v>
      </c>
      <c r="M62" s="1">
        <v>2</v>
      </c>
      <c r="N62" s="1">
        <v>3</v>
      </c>
      <c r="O62" s="3">
        <v>12</v>
      </c>
      <c r="P62" s="1">
        <v>3</v>
      </c>
      <c r="Q62" s="1">
        <v>3</v>
      </c>
      <c r="R62" s="1">
        <v>12</v>
      </c>
      <c r="S62" s="1">
        <v>10</v>
      </c>
      <c r="T62" s="1">
        <v>36</v>
      </c>
      <c r="U62" s="1">
        <v>19</v>
      </c>
      <c r="V62" s="1">
        <v>84</v>
      </c>
      <c r="W62" s="1">
        <v>85</v>
      </c>
      <c r="X62" s="1">
        <v>58</v>
      </c>
      <c r="Y62" s="1">
        <v>103</v>
      </c>
      <c r="Z62" s="1">
        <v>110</v>
      </c>
      <c r="AA62" s="1">
        <v>183</v>
      </c>
      <c r="AB62" s="3">
        <v>706</v>
      </c>
      <c r="AC62" s="1">
        <v>162</v>
      </c>
      <c r="AD62" s="1">
        <v>151</v>
      </c>
      <c r="AE62" s="1">
        <v>71</v>
      </c>
      <c r="AF62" s="1">
        <v>162</v>
      </c>
      <c r="AG62" s="1">
        <v>356</v>
      </c>
      <c r="AH62" s="1">
        <v>146</v>
      </c>
      <c r="AI62" s="1">
        <v>166</v>
      </c>
      <c r="AJ62" s="1">
        <v>114</v>
      </c>
      <c r="AK62" s="1">
        <v>99</v>
      </c>
      <c r="AL62" s="1">
        <v>170</v>
      </c>
      <c r="AM62" s="1">
        <v>189</v>
      </c>
      <c r="AN62" s="1">
        <v>537</v>
      </c>
      <c r="AO62" s="3">
        <v>2323</v>
      </c>
      <c r="AP62" s="1">
        <v>706</v>
      </c>
      <c r="AQ62" s="1">
        <v>279</v>
      </c>
      <c r="AR62" s="1">
        <v>285</v>
      </c>
      <c r="AS62" s="1">
        <v>228</v>
      </c>
      <c r="AT62" s="1">
        <v>190</v>
      </c>
      <c r="AU62" s="1">
        <v>156</v>
      </c>
      <c r="AV62" s="1">
        <v>330</v>
      </c>
      <c r="AW62" s="1">
        <v>422</v>
      </c>
      <c r="AX62" s="1">
        <v>267</v>
      </c>
      <c r="AY62" s="1">
        <v>259</v>
      </c>
      <c r="AZ62" s="1">
        <v>547</v>
      </c>
      <c r="BA62" s="1">
        <v>1181</v>
      </c>
      <c r="BB62" s="3">
        <v>4850</v>
      </c>
      <c r="BC62" s="1">
        <v>2043</v>
      </c>
      <c r="BD62" s="1">
        <v>753</v>
      </c>
      <c r="BE62" s="1">
        <v>540</v>
      </c>
      <c r="BF62" s="1">
        <v>426</v>
      </c>
      <c r="BG62" s="1">
        <v>269</v>
      </c>
      <c r="BH62" s="1">
        <v>373</v>
      </c>
      <c r="BI62" s="1">
        <v>434</v>
      </c>
      <c r="BJ62" s="1">
        <v>292</v>
      </c>
      <c r="BK62" s="1">
        <v>379</v>
      </c>
      <c r="BL62" s="1">
        <v>604</v>
      </c>
      <c r="BM62" s="1">
        <v>725</v>
      </c>
      <c r="BN62" s="1">
        <v>2870</v>
      </c>
      <c r="BO62" s="3">
        <v>9708</v>
      </c>
      <c r="BP62" s="3">
        <f t="shared" si="1"/>
        <v>17599</v>
      </c>
    </row>
    <row r="63" spans="1:69" x14ac:dyDescent="0.2">
      <c r="A63" s="3">
        <v>18</v>
      </c>
      <c r="B63" t="s">
        <v>70</v>
      </c>
      <c r="C63" s="1">
        <v>0</v>
      </c>
      <c r="D63" s="1">
        <v>32</v>
      </c>
      <c r="E63" s="1">
        <v>22</v>
      </c>
      <c r="F63" s="1">
        <v>30</v>
      </c>
      <c r="G63" s="1">
        <v>42</v>
      </c>
      <c r="H63" s="1">
        <v>55</v>
      </c>
      <c r="I63" s="1">
        <v>30</v>
      </c>
      <c r="J63" s="1">
        <v>4</v>
      </c>
      <c r="K63" s="1">
        <v>8</v>
      </c>
      <c r="L63" s="1">
        <v>21</v>
      </c>
      <c r="M63" s="1">
        <v>36</v>
      </c>
      <c r="N63" s="1">
        <v>98</v>
      </c>
      <c r="O63" s="3">
        <v>378</v>
      </c>
      <c r="P63" s="1">
        <v>62</v>
      </c>
      <c r="Q63" s="1">
        <v>46</v>
      </c>
      <c r="R63" s="1">
        <v>104</v>
      </c>
      <c r="S63" s="1">
        <v>97</v>
      </c>
      <c r="T63" s="1">
        <v>113</v>
      </c>
      <c r="U63" s="1">
        <v>219</v>
      </c>
      <c r="V63" s="1">
        <v>149</v>
      </c>
      <c r="W63" s="1">
        <v>173</v>
      </c>
      <c r="X63" s="1">
        <v>158</v>
      </c>
      <c r="Y63" s="1">
        <v>202</v>
      </c>
      <c r="Z63" s="1">
        <v>381</v>
      </c>
      <c r="AA63" s="1">
        <v>578</v>
      </c>
      <c r="AB63" s="3">
        <v>2282</v>
      </c>
      <c r="AC63" s="1">
        <v>734</v>
      </c>
      <c r="AD63" s="1">
        <v>557</v>
      </c>
      <c r="AE63" s="1">
        <v>513</v>
      </c>
      <c r="AF63" s="1">
        <v>506</v>
      </c>
      <c r="AG63" s="1">
        <v>630</v>
      </c>
      <c r="AH63" s="1">
        <v>662</v>
      </c>
      <c r="AI63" s="1">
        <v>771</v>
      </c>
      <c r="AJ63" s="1">
        <v>664</v>
      </c>
      <c r="AK63" s="1">
        <v>601</v>
      </c>
      <c r="AL63" s="1">
        <v>624</v>
      </c>
      <c r="AM63" s="1">
        <v>734</v>
      </c>
      <c r="AN63" s="1">
        <v>1202</v>
      </c>
      <c r="AO63" s="3">
        <v>8198</v>
      </c>
      <c r="AP63" s="1">
        <v>1411</v>
      </c>
      <c r="AQ63" s="1">
        <v>1254</v>
      </c>
      <c r="AR63" s="1">
        <v>1453</v>
      </c>
      <c r="AS63" s="1">
        <v>1490</v>
      </c>
      <c r="AT63" s="1">
        <v>1474</v>
      </c>
      <c r="AU63" s="1">
        <v>1708</v>
      </c>
      <c r="AV63" s="1">
        <v>2234</v>
      </c>
      <c r="AW63" s="1">
        <v>1622</v>
      </c>
      <c r="AX63" s="1">
        <v>1361</v>
      </c>
      <c r="AY63" s="1">
        <v>1508</v>
      </c>
      <c r="AZ63" s="1">
        <v>1821</v>
      </c>
      <c r="BA63" s="1">
        <v>2072</v>
      </c>
      <c r="BB63" s="3">
        <v>19408</v>
      </c>
      <c r="BC63" s="1">
        <v>2764</v>
      </c>
      <c r="BD63" s="1">
        <v>2153</v>
      </c>
      <c r="BE63" s="1">
        <v>1789</v>
      </c>
      <c r="BF63" s="1">
        <v>1861</v>
      </c>
      <c r="BG63" s="1">
        <v>1486</v>
      </c>
      <c r="BH63" s="1">
        <v>1781</v>
      </c>
      <c r="BI63" s="1">
        <v>2422</v>
      </c>
      <c r="BJ63" s="1">
        <v>2076</v>
      </c>
      <c r="BK63" s="1">
        <v>1347</v>
      </c>
      <c r="BL63" s="1">
        <v>2060</v>
      </c>
      <c r="BM63" s="1">
        <v>2028</v>
      </c>
      <c r="BN63" s="1">
        <v>2657</v>
      </c>
      <c r="BO63" s="3">
        <v>24424</v>
      </c>
      <c r="BP63" s="3">
        <f t="shared" si="1"/>
        <v>54690</v>
      </c>
    </row>
    <row r="64" spans="1:69" x14ac:dyDescent="0.2">
      <c r="A64" s="3">
        <v>19</v>
      </c>
      <c r="B64" t="s">
        <v>71</v>
      </c>
      <c r="C64" s="1">
        <v>27</v>
      </c>
      <c r="D64" s="1">
        <v>71</v>
      </c>
      <c r="E64" s="1">
        <v>51</v>
      </c>
      <c r="F64" s="1">
        <v>101</v>
      </c>
      <c r="G64" s="1">
        <v>69</v>
      </c>
      <c r="H64" s="1">
        <v>98</v>
      </c>
      <c r="I64" s="1">
        <v>67</v>
      </c>
      <c r="J64" s="1">
        <v>15</v>
      </c>
      <c r="K64" s="1">
        <v>53</v>
      </c>
      <c r="L64" s="1">
        <v>113</v>
      </c>
      <c r="M64" s="1">
        <v>146</v>
      </c>
      <c r="N64" s="1">
        <v>163</v>
      </c>
      <c r="O64" s="3">
        <v>974</v>
      </c>
      <c r="P64" s="1">
        <v>142</v>
      </c>
      <c r="Q64" s="1">
        <v>176</v>
      </c>
      <c r="R64" s="1">
        <v>199</v>
      </c>
      <c r="S64" s="1">
        <v>153</v>
      </c>
      <c r="T64" s="1">
        <v>291</v>
      </c>
      <c r="U64" s="1">
        <v>445</v>
      </c>
      <c r="V64" s="1">
        <v>413</v>
      </c>
      <c r="W64" s="1">
        <v>578</v>
      </c>
      <c r="X64" s="1">
        <v>527</v>
      </c>
      <c r="Y64" s="1">
        <v>637</v>
      </c>
      <c r="Z64" s="1">
        <v>860</v>
      </c>
      <c r="AA64" s="1">
        <v>826</v>
      </c>
      <c r="AB64" s="3">
        <v>5247</v>
      </c>
      <c r="AC64" s="1">
        <v>893</v>
      </c>
      <c r="AD64" s="1">
        <v>957</v>
      </c>
      <c r="AE64" s="1">
        <v>1080</v>
      </c>
      <c r="AF64" s="1">
        <v>624</v>
      </c>
      <c r="AG64" s="1">
        <v>1034</v>
      </c>
      <c r="AH64" s="1">
        <v>1188</v>
      </c>
      <c r="AI64" s="1">
        <v>1276</v>
      </c>
      <c r="AJ64" s="1">
        <v>1399</v>
      </c>
      <c r="AK64" s="1">
        <v>1317</v>
      </c>
      <c r="AL64" s="1">
        <v>1314</v>
      </c>
      <c r="AM64" s="1">
        <v>1325</v>
      </c>
      <c r="AN64" s="1">
        <v>1857</v>
      </c>
      <c r="AO64" s="3">
        <v>14264</v>
      </c>
      <c r="AP64" s="1">
        <v>1661</v>
      </c>
      <c r="AQ64" s="1">
        <v>2066</v>
      </c>
      <c r="AR64" s="1">
        <v>934</v>
      </c>
      <c r="AS64" s="1">
        <v>1302</v>
      </c>
      <c r="AT64" s="1">
        <v>1416</v>
      </c>
      <c r="AU64" s="1">
        <v>1485</v>
      </c>
      <c r="AV64" s="1">
        <v>2230</v>
      </c>
      <c r="AW64" s="1">
        <v>2183</v>
      </c>
      <c r="AX64" s="1">
        <v>2309</v>
      </c>
      <c r="AY64" s="1">
        <v>2319</v>
      </c>
      <c r="AZ64" s="1">
        <v>2455</v>
      </c>
      <c r="BA64" s="1">
        <v>2773</v>
      </c>
      <c r="BB64" s="3">
        <v>23133</v>
      </c>
      <c r="BC64" s="1">
        <v>2406</v>
      </c>
      <c r="BD64" s="1">
        <v>2205</v>
      </c>
      <c r="BE64" s="1">
        <v>1103</v>
      </c>
      <c r="BF64" s="1">
        <v>2550</v>
      </c>
      <c r="BG64" s="1">
        <v>2455</v>
      </c>
      <c r="BH64" s="1">
        <v>3429</v>
      </c>
      <c r="BI64" s="1">
        <v>4017</v>
      </c>
      <c r="BJ64" s="1">
        <v>3953</v>
      </c>
      <c r="BK64" s="1">
        <v>3410</v>
      </c>
      <c r="BL64" s="1">
        <v>3332</v>
      </c>
      <c r="BM64" s="1">
        <v>3461</v>
      </c>
      <c r="BN64" s="1">
        <v>4027</v>
      </c>
      <c r="BO64" s="3">
        <v>36348</v>
      </c>
      <c r="BP64" s="3">
        <f t="shared" si="1"/>
        <v>79966</v>
      </c>
    </row>
    <row r="65" spans="1:69" x14ac:dyDescent="0.2">
      <c r="A65" s="3">
        <v>20</v>
      </c>
      <c r="B65" t="s">
        <v>72</v>
      </c>
      <c r="C65" s="1">
        <v>0</v>
      </c>
      <c r="D65" s="1">
        <v>2</v>
      </c>
      <c r="E65" s="1">
        <v>3</v>
      </c>
      <c r="F65" s="1">
        <v>11</v>
      </c>
      <c r="G65" s="1">
        <v>0</v>
      </c>
      <c r="H65" s="1">
        <v>15</v>
      </c>
      <c r="I65" s="1">
        <v>2</v>
      </c>
      <c r="J65" s="1">
        <v>1</v>
      </c>
      <c r="K65" s="1">
        <v>3</v>
      </c>
      <c r="L65" s="1">
        <v>2</v>
      </c>
      <c r="M65" s="1">
        <v>14</v>
      </c>
      <c r="N65" s="1">
        <v>15</v>
      </c>
      <c r="O65" s="3">
        <v>68</v>
      </c>
      <c r="P65" s="1">
        <v>9</v>
      </c>
      <c r="Q65" s="1">
        <v>9</v>
      </c>
      <c r="R65" s="1">
        <v>60</v>
      </c>
      <c r="S65" s="1">
        <v>9</v>
      </c>
      <c r="T65" s="1">
        <v>41</v>
      </c>
      <c r="U65" s="1">
        <v>64</v>
      </c>
      <c r="V65" s="1">
        <v>117</v>
      </c>
      <c r="W65" s="1">
        <v>134</v>
      </c>
      <c r="X65" s="1">
        <v>115</v>
      </c>
      <c r="Y65" s="1">
        <v>187</v>
      </c>
      <c r="Z65" s="1">
        <v>241</v>
      </c>
      <c r="AA65" s="1">
        <v>407</v>
      </c>
      <c r="AB65" s="3">
        <v>1393</v>
      </c>
      <c r="AC65" s="1">
        <v>546</v>
      </c>
      <c r="AD65" s="1">
        <v>396</v>
      </c>
      <c r="AE65" s="1">
        <v>282</v>
      </c>
      <c r="AF65" s="1">
        <v>202</v>
      </c>
      <c r="AG65" s="1">
        <v>371</v>
      </c>
      <c r="AH65" s="1">
        <v>540</v>
      </c>
      <c r="AI65" s="1">
        <v>695</v>
      </c>
      <c r="AJ65" s="1">
        <v>750</v>
      </c>
      <c r="AK65" s="1">
        <v>283</v>
      </c>
      <c r="AL65" s="1">
        <v>385</v>
      </c>
      <c r="AM65" s="1">
        <v>278</v>
      </c>
      <c r="AN65" s="1">
        <v>555</v>
      </c>
      <c r="AO65" s="3">
        <v>5283</v>
      </c>
      <c r="AP65" s="1">
        <v>1178</v>
      </c>
      <c r="AQ65" s="1">
        <v>760</v>
      </c>
      <c r="AR65" s="1">
        <v>389</v>
      </c>
      <c r="AS65" s="1">
        <v>429</v>
      </c>
      <c r="AT65" s="1">
        <v>422</v>
      </c>
      <c r="AU65" s="1">
        <v>555</v>
      </c>
      <c r="AV65" s="1">
        <v>1097</v>
      </c>
      <c r="AW65" s="1">
        <v>921</v>
      </c>
      <c r="AX65" s="1">
        <v>495</v>
      </c>
      <c r="AY65" s="1">
        <v>591</v>
      </c>
      <c r="AZ65" s="1">
        <v>541</v>
      </c>
      <c r="BA65" s="1">
        <v>752</v>
      </c>
      <c r="BB65" s="3">
        <v>8130</v>
      </c>
      <c r="BC65" s="1">
        <v>1374</v>
      </c>
      <c r="BD65" s="1">
        <v>901</v>
      </c>
      <c r="BE65" s="1">
        <v>279</v>
      </c>
      <c r="BF65" s="1">
        <v>523</v>
      </c>
      <c r="BG65" s="1">
        <v>477</v>
      </c>
      <c r="BH65" s="1">
        <v>786</v>
      </c>
      <c r="BI65" s="1">
        <v>1360</v>
      </c>
      <c r="BJ65" s="1">
        <v>1202</v>
      </c>
      <c r="BK65" s="1">
        <v>496</v>
      </c>
      <c r="BL65" s="1">
        <v>786</v>
      </c>
      <c r="BM65" s="1">
        <v>1087</v>
      </c>
      <c r="BN65" s="1">
        <v>1209</v>
      </c>
      <c r="BO65" s="3">
        <v>10480</v>
      </c>
      <c r="BP65" s="3">
        <f t="shared" si="1"/>
        <v>25354</v>
      </c>
    </row>
    <row r="66" spans="1:69" x14ac:dyDescent="0.2">
      <c r="A66" s="3">
        <v>21</v>
      </c>
      <c r="B66" t="s">
        <v>73</v>
      </c>
      <c r="C66" s="1">
        <v>88</v>
      </c>
      <c r="D66" s="1">
        <v>87</v>
      </c>
      <c r="E66" s="1">
        <v>79</v>
      </c>
      <c r="F66" s="1">
        <v>62</v>
      </c>
      <c r="G66" s="1">
        <v>80</v>
      </c>
      <c r="H66" s="1">
        <v>98</v>
      </c>
      <c r="I66" s="1">
        <v>50</v>
      </c>
      <c r="J66" s="1">
        <v>69</v>
      </c>
      <c r="K66" s="1">
        <v>53</v>
      </c>
      <c r="L66" s="1">
        <v>138</v>
      </c>
      <c r="M66" s="1">
        <v>93</v>
      </c>
      <c r="N66" s="1">
        <v>104</v>
      </c>
      <c r="O66" s="3">
        <v>1001</v>
      </c>
      <c r="P66" s="1">
        <v>157</v>
      </c>
      <c r="Q66" s="1">
        <v>233</v>
      </c>
      <c r="R66" s="1">
        <v>340</v>
      </c>
      <c r="S66" s="1">
        <v>341</v>
      </c>
      <c r="T66" s="1">
        <v>571</v>
      </c>
      <c r="U66" s="1">
        <v>760</v>
      </c>
      <c r="V66" s="1">
        <v>692</v>
      </c>
      <c r="W66" s="1">
        <v>992</v>
      </c>
      <c r="X66" s="1">
        <v>1898</v>
      </c>
      <c r="Y66" s="1">
        <v>2113</v>
      </c>
      <c r="Z66" s="1">
        <v>842</v>
      </c>
      <c r="AA66" s="1">
        <v>654</v>
      </c>
      <c r="AB66" s="3">
        <v>9593</v>
      </c>
      <c r="AC66" s="1">
        <v>583</v>
      </c>
      <c r="AD66" s="1">
        <v>666</v>
      </c>
      <c r="AE66" s="1">
        <v>720</v>
      </c>
      <c r="AF66" s="1">
        <v>699</v>
      </c>
      <c r="AG66" s="1">
        <v>883</v>
      </c>
      <c r="AH66" s="1">
        <v>823</v>
      </c>
      <c r="AI66" s="1">
        <v>857</v>
      </c>
      <c r="AJ66" s="1">
        <v>767</v>
      </c>
      <c r="AK66" s="1">
        <v>912</v>
      </c>
      <c r="AL66" s="1">
        <v>770</v>
      </c>
      <c r="AM66" s="1">
        <v>742</v>
      </c>
      <c r="AN66" s="1">
        <v>951</v>
      </c>
      <c r="AO66" s="3">
        <v>9373</v>
      </c>
      <c r="AP66" s="1">
        <v>658</v>
      </c>
      <c r="AQ66" s="1">
        <v>999</v>
      </c>
      <c r="AR66" s="1">
        <v>640</v>
      </c>
      <c r="AS66" s="1">
        <v>868</v>
      </c>
      <c r="AT66" s="1">
        <v>791</v>
      </c>
      <c r="AU66" s="1">
        <v>1010</v>
      </c>
      <c r="AV66" s="1">
        <v>1208</v>
      </c>
      <c r="AW66" s="1">
        <v>946</v>
      </c>
      <c r="AX66" s="1">
        <v>1206</v>
      </c>
      <c r="AY66" s="1">
        <v>1086</v>
      </c>
      <c r="AZ66" s="1">
        <v>1668</v>
      </c>
      <c r="BA66" s="1">
        <v>1649</v>
      </c>
      <c r="BB66" s="3">
        <v>12729</v>
      </c>
      <c r="BC66" s="1">
        <v>1717</v>
      </c>
      <c r="BD66" s="1">
        <v>1531</v>
      </c>
      <c r="BE66" s="1">
        <v>1486</v>
      </c>
      <c r="BF66" s="1">
        <v>1815</v>
      </c>
      <c r="BG66" s="1">
        <v>1820</v>
      </c>
      <c r="BH66" s="1">
        <v>1280</v>
      </c>
      <c r="BI66" s="1">
        <v>1120</v>
      </c>
      <c r="BJ66" s="1">
        <v>1291</v>
      </c>
      <c r="BK66" s="1">
        <v>1524</v>
      </c>
      <c r="BL66" s="1">
        <v>1716</v>
      </c>
      <c r="BM66" s="1">
        <v>2228</v>
      </c>
      <c r="BN66" s="1">
        <v>1801</v>
      </c>
      <c r="BO66" s="3">
        <v>19329</v>
      </c>
      <c r="BP66" s="3">
        <f t="shared" si="1"/>
        <v>52025</v>
      </c>
    </row>
    <row r="67" spans="1:69" x14ac:dyDescent="0.2">
      <c r="A67" s="3">
        <v>22</v>
      </c>
      <c r="B67" t="s">
        <v>74</v>
      </c>
      <c r="C67" s="1">
        <v>0</v>
      </c>
      <c r="D67" s="1">
        <v>2</v>
      </c>
      <c r="E67" s="1">
        <v>5</v>
      </c>
      <c r="F67" s="1">
        <v>15</v>
      </c>
      <c r="G67" s="1">
        <v>5</v>
      </c>
      <c r="H67" s="1">
        <v>5</v>
      </c>
      <c r="I67" s="1">
        <v>1</v>
      </c>
      <c r="J67" s="1">
        <v>0</v>
      </c>
      <c r="K67" s="1">
        <v>2</v>
      </c>
      <c r="L67" s="1">
        <v>11</v>
      </c>
      <c r="M67" s="1">
        <v>7</v>
      </c>
      <c r="N67" s="1">
        <v>8</v>
      </c>
      <c r="O67" s="3">
        <v>61</v>
      </c>
      <c r="P67" s="1">
        <v>15</v>
      </c>
      <c r="Q67" s="1">
        <v>4</v>
      </c>
      <c r="R67" s="1">
        <v>34</v>
      </c>
      <c r="S67" s="1">
        <v>73</v>
      </c>
      <c r="T67" s="1">
        <v>125</v>
      </c>
      <c r="U67" s="1">
        <v>213</v>
      </c>
      <c r="V67" s="1">
        <v>249</v>
      </c>
      <c r="W67" s="1">
        <v>215</v>
      </c>
      <c r="X67" s="1">
        <v>172</v>
      </c>
      <c r="Y67" s="1">
        <v>349</v>
      </c>
      <c r="Z67" s="1">
        <v>436</v>
      </c>
      <c r="AA67" s="1">
        <v>340</v>
      </c>
      <c r="AB67" s="3">
        <v>2225</v>
      </c>
      <c r="AC67" s="1">
        <v>259</v>
      </c>
      <c r="AD67" s="1">
        <v>445</v>
      </c>
      <c r="AE67" s="1">
        <v>362</v>
      </c>
      <c r="AF67" s="1">
        <v>349</v>
      </c>
      <c r="AG67" s="1">
        <v>512</v>
      </c>
      <c r="AH67" s="1">
        <v>485</v>
      </c>
      <c r="AI67" s="1">
        <v>555</v>
      </c>
      <c r="AJ67" s="1">
        <v>608</v>
      </c>
      <c r="AK67" s="1">
        <v>578</v>
      </c>
      <c r="AL67" s="1">
        <v>742</v>
      </c>
      <c r="AM67" s="1">
        <v>497</v>
      </c>
      <c r="AN67" s="1">
        <v>505</v>
      </c>
      <c r="AO67" s="3">
        <v>5897</v>
      </c>
      <c r="AP67" s="1">
        <v>505</v>
      </c>
      <c r="AQ67" s="1">
        <v>785</v>
      </c>
      <c r="AR67" s="1">
        <v>624</v>
      </c>
      <c r="AS67" s="1">
        <v>665</v>
      </c>
      <c r="AT67" s="1">
        <v>694</v>
      </c>
      <c r="AU67" s="1">
        <v>728</v>
      </c>
      <c r="AV67" s="1">
        <v>1065</v>
      </c>
      <c r="AW67" s="1">
        <v>971</v>
      </c>
      <c r="AX67" s="1">
        <v>870</v>
      </c>
      <c r="AY67" s="1">
        <v>1206</v>
      </c>
      <c r="AZ67" s="1">
        <v>751</v>
      </c>
      <c r="BA67" s="1">
        <v>796</v>
      </c>
      <c r="BB67" s="3">
        <v>9660</v>
      </c>
      <c r="BC67" s="1">
        <v>904</v>
      </c>
      <c r="BD67" s="1">
        <v>996</v>
      </c>
      <c r="BE67" s="1">
        <v>1083</v>
      </c>
      <c r="BF67" s="1">
        <v>1247</v>
      </c>
      <c r="BG67" s="1">
        <v>1430</v>
      </c>
      <c r="BH67" s="1">
        <v>1319</v>
      </c>
      <c r="BI67" s="1">
        <v>1798</v>
      </c>
      <c r="BJ67" s="1">
        <v>1717</v>
      </c>
      <c r="BK67" s="1">
        <v>1282</v>
      </c>
      <c r="BL67" s="1">
        <v>1484</v>
      </c>
      <c r="BM67" s="1">
        <v>1256</v>
      </c>
      <c r="BN67" s="1">
        <v>1320</v>
      </c>
      <c r="BO67" s="3">
        <v>15836</v>
      </c>
      <c r="BP67" s="3">
        <f t="shared" si="1"/>
        <v>33679</v>
      </c>
    </row>
    <row r="68" spans="1:69" x14ac:dyDescent="0.2">
      <c r="A68" s="3">
        <v>23</v>
      </c>
      <c r="B68" t="s">
        <v>75</v>
      </c>
      <c r="C68" s="1">
        <v>26</v>
      </c>
      <c r="D68" s="1">
        <v>34</v>
      </c>
      <c r="E68" s="1">
        <v>52</v>
      </c>
      <c r="F68" s="1">
        <v>57</v>
      </c>
      <c r="G68" s="1">
        <v>79</v>
      </c>
      <c r="H68" s="1">
        <v>56</v>
      </c>
      <c r="I68" s="1">
        <v>27</v>
      </c>
      <c r="J68" s="1">
        <v>15</v>
      </c>
      <c r="K68" s="1">
        <v>42</v>
      </c>
      <c r="L68" s="1">
        <v>63</v>
      </c>
      <c r="M68" s="1">
        <v>100</v>
      </c>
      <c r="N68" s="1">
        <v>69</v>
      </c>
      <c r="O68" s="3">
        <v>620</v>
      </c>
      <c r="P68" s="1">
        <v>101</v>
      </c>
      <c r="Q68" s="1">
        <v>97</v>
      </c>
      <c r="R68" s="1">
        <v>168</v>
      </c>
      <c r="S68" s="1">
        <v>209</v>
      </c>
      <c r="T68" s="1">
        <v>239</v>
      </c>
      <c r="U68" s="1">
        <v>391</v>
      </c>
      <c r="V68" s="1">
        <v>412</v>
      </c>
      <c r="W68" s="1">
        <v>300</v>
      </c>
      <c r="X68" s="1">
        <v>243</v>
      </c>
      <c r="Y68" s="1">
        <v>391</v>
      </c>
      <c r="Z68" s="1">
        <v>394</v>
      </c>
      <c r="AA68" s="1">
        <v>502</v>
      </c>
      <c r="AB68" s="3">
        <v>3447</v>
      </c>
      <c r="AC68" s="1">
        <v>405</v>
      </c>
      <c r="AD68" s="1">
        <v>410</v>
      </c>
      <c r="AE68" s="1">
        <v>518</v>
      </c>
      <c r="AF68" s="1">
        <v>490</v>
      </c>
      <c r="AG68" s="1">
        <v>550</v>
      </c>
      <c r="AH68" s="1">
        <v>507</v>
      </c>
      <c r="AI68" s="1">
        <v>779</v>
      </c>
      <c r="AJ68" s="1">
        <v>649</v>
      </c>
      <c r="AK68" s="1">
        <v>839</v>
      </c>
      <c r="AL68" s="1">
        <v>594</v>
      </c>
      <c r="AM68" s="1">
        <v>750</v>
      </c>
      <c r="AN68" s="1">
        <v>902</v>
      </c>
      <c r="AO68" s="3">
        <v>7393</v>
      </c>
      <c r="AP68" s="1">
        <v>681</v>
      </c>
      <c r="AQ68" s="1">
        <v>767</v>
      </c>
      <c r="AR68" s="1">
        <v>746</v>
      </c>
      <c r="AS68" s="1">
        <v>795</v>
      </c>
      <c r="AT68" s="1">
        <v>803</v>
      </c>
      <c r="AU68" s="1">
        <v>610</v>
      </c>
      <c r="AV68" s="1">
        <v>778</v>
      </c>
      <c r="AW68" s="1">
        <v>1007</v>
      </c>
      <c r="AX68" s="1">
        <v>962</v>
      </c>
      <c r="AY68" s="1">
        <v>1091</v>
      </c>
      <c r="AZ68" s="1">
        <v>1026</v>
      </c>
      <c r="BA68" s="1">
        <v>817</v>
      </c>
      <c r="BB68" s="3">
        <v>10083</v>
      </c>
      <c r="BC68" s="1">
        <v>724</v>
      </c>
      <c r="BD68" s="1">
        <v>673</v>
      </c>
      <c r="BE68" s="1">
        <v>811</v>
      </c>
      <c r="BF68" s="1">
        <v>1078</v>
      </c>
      <c r="BG68" s="1">
        <v>1195</v>
      </c>
      <c r="BH68" s="1">
        <v>1041</v>
      </c>
      <c r="BI68" s="1">
        <v>1294</v>
      </c>
      <c r="BJ68" s="1">
        <v>1212</v>
      </c>
      <c r="BK68" s="1">
        <v>1393</v>
      </c>
      <c r="BL68" s="1">
        <v>1206</v>
      </c>
      <c r="BM68" s="1">
        <v>1225</v>
      </c>
      <c r="BN68" s="1">
        <v>1146</v>
      </c>
      <c r="BO68" s="3">
        <v>12998</v>
      </c>
      <c r="BP68" s="3">
        <f t="shared" si="1"/>
        <v>34541</v>
      </c>
    </row>
    <row r="69" spans="1:69" x14ac:dyDescent="0.2">
      <c r="A69" s="3">
        <v>24</v>
      </c>
      <c r="B69" t="s">
        <v>76</v>
      </c>
      <c r="C69" s="1">
        <v>275</v>
      </c>
      <c r="D69" s="1">
        <v>362</v>
      </c>
      <c r="E69" s="1">
        <v>353</v>
      </c>
      <c r="F69" s="1">
        <v>339</v>
      </c>
      <c r="G69" s="1">
        <v>377</v>
      </c>
      <c r="H69" s="1">
        <v>363</v>
      </c>
      <c r="I69" s="1">
        <v>283</v>
      </c>
      <c r="J69" s="1">
        <v>224</v>
      </c>
      <c r="K69" s="1">
        <v>216</v>
      </c>
      <c r="L69" s="1">
        <v>431</v>
      </c>
      <c r="M69" s="1">
        <v>522</v>
      </c>
      <c r="N69" s="1">
        <v>540</v>
      </c>
      <c r="O69" s="3">
        <v>4285</v>
      </c>
      <c r="P69" s="1">
        <v>647</v>
      </c>
      <c r="Q69" s="1">
        <v>747</v>
      </c>
      <c r="R69" s="1">
        <v>820</v>
      </c>
      <c r="S69" s="1">
        <v>1154</v>
      </c>
      <c r="T69" s="1">
        <v>1484</v>
      </c>
      <c r="U69" s="1">
        <v>2199</v>
      </c>
      <c r="V69" s="1">
        <v>3192</v>
      </c>
      <c r="W69" s="1">
        <v>3309</v>
      </c>
      <c r="X69" s="1">
        <v>4125</v>
      </c>
      <c r="Y69" s="1">
        <v>5255</v>
      </c>
      <c r="Z69" s="1">
        <v>5757</v>
      </c>
      <c r="AA69" s="1">
        <v>7276</v>
      </c>
      <c r="AB69" s="3">
        <v>35965</v>
      </c>
      <c r="AC69" s="1">
        <v>15610</v>
      </c>
      <c r="AD69" s="1">
        <v>9814</v>
      </c>
      <c r="AE69" s="1">
        <v>11867</v>
      </c>
      <c r="AF69" s="1">
        <v>11189</v>
      </c>
      <c r="AG69" s="1">
        <v>13107</v>
      </c>
      <c r="AH69" s="1">
        <v>17054</v>
      </c>
      <c r="AI69" s="1">
        <v>19163</v>
      </c>
      <c r="AJ69" s="1">
        <v>18347</v>
      </c>
      <c r="AK69" s="1">
        <v>16316</v>
      </c>
      <c r="AL69" s="1">
        <v>17075</v>
      </c>
      <c r="AM69" s="1">
        <v>14665</v>
      </c>
      <c r="AN69" s="1">
        <v>13292</v>
      </c>
      <c r="AO69" s="3">
        <v>177499</v>
      </c>
      <c r="AP69" s="1">
        <v>14826</v>
      </c>
      <c r="AQ69" s="1">
        <v>22726</v>
      </c>
      <c r="AR69" s="1">
        <v>17839</v>
      </c>
      <c r="AS69" s="1">
        <v>16816</v>
      </c>
      <c r="AT69" s="1">
        <v>18233</v>
      </c>
      <c r="AU69" s="1">
        <v>21011</v>
      </c>
      <c r="AV69" s="1">
        <v>21577</v>
      </c>
      <c r="AW69" s="1">
        <v>21095</v>
      </c>
      <c r="AX69" s="1">
        <v>24540</v>
      </c>
      <c r="AY69" s="1">
        <v>25169</v>
      </c>
      <c r="AZ69" s="1">
        <v>23989</v>
      </c>
      <c r="BA69" s="1">
        <v>20616</v>
      </c>
      <c r="BB69" s="3">
        <v>248437</v>
      </c>
      <c r="BC69" s="1">
        <v>29583</v>
      </c>
      <c r="BD69" s="1">
        <v>20937</v>
      </c>
      <c r="BE69" s="1">
        <v>21876</v>
      </c>
      <c r="BF69" s="1">
        <v>27467</v>
      </c>
      <c r="BG69" s="1">
        <v>28919</v>
      </c>
      <c r="BH69" s="1">
        <v>32671</v>
      </c>
      <c r="BI69" s="1">
        <v>34775</v>
      </c>
      <c r="BJ69" s="1">
        <v>33800</v>
      </c>
      <c r="BK69" s="1">
        <v>30533</v>
      </c>
      <c r="BL69" s="1">
        <v>34436</v>
      </c>
      <c r="BM69" s="1">
        <v>26221</v>
      </c>
      <c r="BN69" s="1">
        <v>26143</v>
      </c>
      <c r="BO69" s="3">
        <v>347361</v>
      </c>
      <c r="BP69" s="3">
        <f t="shared" si="1"/>
        <v>813547</v>
      </c>
    </row>
    <row r="70" spans="1:69" x14ac:dyDescent="0.2">
      <c r="A70" s="3">
        <v>25</v>
      </c>
      <c r="B70" t="s">
        <v>77</v>
      </c>
      <c r="C70" s="1">
        <v>5</v>
      </c>
      <c r="D70" s="1">
        <v>6</v>
      </c>
      <c r="E70" s="1">
        <v>5</v>
      </c>
      <c r="F70" s="1">
        <v>12</v>
      </c>
      <c r="G70" s="1">
        <v>11</v>
      </c>
      <c r="H70" s="1">
        <v>2</v>
      </c>
      <c r="I70" s="1">
        <v>6</v>
      </c>
      <c r="J70" s="1">
        <v>1</v>
      </c>
      <c r="K70" s="1">
        <v>1</v>
      </c>
      <c r="L70" s="1">
        <v>9</v>
      </c>
      <c r="M70" s="1">
        <v>14</v>
      </c>
      <c r="N70" s="1">
        <v>8</v>
      </c>
      <c r="O70" s="3">
        <v>80</v>
      </c>
      <c r="P70" s="1">
        <v>13</v>
      </c>
      <c r="Q70" s="1">
        <v>8</v>
      </c>
      <c r="R70" s="1">
        <v>33</v>
      </c>
      <c r="S70" s="1">
        <v>26</v>
      </c>
      <c r="T70" s="1">
        <v>72</v>
      </c>
      <c r="U70" s="1">
        <v>78</v>
      </c>
      <c r="V70" s="1">
        <v>73</v>
      </c>
      <c r="W70" s="1">
        <v>130</v>
      </c>
      <c r="X70" s="1">
        <v>212</v>
      </c>
      <c r="Y70" s="1">
        <v>167</v>
      </c>
      <c r="Z70" s="1">
        <v>148</v>
      </c>
      <c r="AA70" s="1">
        <v>260</v>
      </c>
      <c r="AB70" s="3">
        <v>1220</v>
      </c>
      <c r="AC70" s="1">
        <v>173</v>
      </c>
      <c r="AD70" s="1">
        <v>196</v>
      </c>
      <c r="AE70" s="1">
        <v>161</v>
      </c>
      <c r="AF70" s="1">
        <v>79</v>
      </c>
      <c r="AG70" s="1">
        <v>315</v>
      </c>
      <c r="AH70" s="1">
        <v>258</v>
      </c>
      <c r="AI70" s="1">
        <v>481</v>
      </c>
      <c r="AJ70" s="1">
        <v>242</v>
      </c>
      <c r="AK70" s="1">
        <v>206</v>
      </c>
      <c r="AL70" s="1">
        <v>271</v>
      </c>
      <c r="AM70" s="1">
        <v>247</v>
      </c>
      <c r="AN70" s="1">
        <v>250</v>
      </c>
      <c r="AO70" s="3">
        <v>2879</v>
      </c>
      <c r="AP70" s="1">
        <v>224</v>
      </c>
      <c r="AQ70" s="1">
        <v>246</v>
      </c>
      <c r="AR70" s="1">
        <v>150</v>
      </c>
      <c r="AS70" s="1">
        <v>277</v>
      </c>
      <c r="AT70" s="1">
        <v>426</v>
      </c>
      <c r="AU70" s="1">
        <v>401</v>
      </c>
      <c r="AV70" s="1">
        <v>330</v>
      </c>
      <c r="AW70" s="1">
        <v>259</v>
      </c>
      <c r="AX70" s="1">
        <v>359</v>
      </c>
      <c r="AY70" s="1">
        <v>288</v>
      </c>
      <c r="AZ70" s="1">
        <v>353</v>
      </c>
      <c r="BA70" s="1">
        <v>329</v>
      </c>
      <c r="BB70" s="3">
        <v>3642</v>
      </c>
      <c r="BC70" s="1">
        <v>203</v>
      </c>
      <c r="BD70" s="1">
        <v>218</v>
      </c>
      <c r="BE70" s="1">
        <v>142</v>
      </c>
      <c r="BF70" s="1">
        <v>420</v>
      </c>
      <c r="BG70" s="1">
        <v>447</v>
      </c>
      <c r="BH70" s="1">
        <v>405</v>
      </c>
      <c r="BI70" s="1">
        <v>432</v>
      </c>
      <c r="BJ70" s="1">
        <v>366</v>
      </c>
      <c r="BK70" s="1">
        <v>362</v>
      </c>
      <c r="BL70" s="1">
        <v>351</v>
      </c>
      <c r="BM70" s="1">
        <v>392</v>
      </c>
      <c r="BN70" s="1">
        <v>387</v>
      </c>
      <c r="BO70" s="3">
        <v>4125</v>
      </c>
      <c r="BP70" s="3">
        <f t="shared" ref="BP70:BP133" si="2">SUM($BO70,$BB70,$AO70,$AB70,$O70)</f>
        <v>11946</v>
      </c>
    </row>
    <row r="71" spans="1:69" x14ac:dyDescent="0.2">
      <c r="A71" s="3">
        <v>26</v>
      </c>
      <c r="B71" t="s">
        <v>78</v>
      </c>
      <c r="C71" s="1">
        <v>0</v>
      </c>
      <c r="D71" s="1">
        <v>1</v>
      </c>
      <c r="E71" s="1">
        <v>4</v>
      </c>
      <c r="F71" s="1">
        <v>3</v>
      </c>
      <c r="G71" s="1">
        <v>3</v>
      </c>
      <c r="H71" s="1">
        <v>9</v>
      </c>
      <c r="I71" s="1">
        <v>15</v>
      </c>
      <c r="J71" s="1">
        <v>0</v>
      </c>
      <c r="K71" s="1">
        <v>5</v>
      </c>
      <c r="L71" s="1">
        <v>76</v>
      </c>
      <c r="M71" s="1">
        <v>61</v>
      </c>
      <c r="N71" s="1">
        <v>69</v>
      </c>
      <c r="O71" s="3">
        <v>246</v>
      </c>
      <c r="P71" s="1">
        <v>40</v>
      </c>
      <c r="Q71" s="1">
        <v>22</v>
      </c>
      <c r="R71" s="1">
        <v>24</v>
      </c>
      <c r="S71" s="1">
        <v>11</v>
      </c>
      <c r="T71" s="1">
        <v>24</v>
      </c>
      <c r="U71" s="1">
        <v>24</v>
      </c>
      <c r="V71" s="1">
        <v>37</v>
      </c>
      <c r="W71" s="1">
        <v>30</v>
      </c>
      <c r="X71" s="1">
        <v>39</v>
      </c>
      <c r="Y71" s="1">
        <v>38</v>
      </c>
      <c r="Z71" s="1">
        <v>68</v>
      </c>
      <c r="AA71" s="1">
        <v>104</v>
      </c>
      <c r="AB71" s="3">
        <v>461</v>
      </c>
      <c r="AC71" s="1">
        <v>105</v>
      </c>
      <c r="AD71" s="1">
        <v>79</v>
      </c>
      <c r="AE71" s="1">
        <v>54</v>
      </c>
      <c r="AF71" s="1">
        <v>47</v>
      </c>
      <c r="AG71" s="1">
        <v>51</v>
      </c>
      <c r="AH71" s="1">
        <v>62</v>
      </c>
      <c r="AI71" s="1">
        <v>76</v>
      </c>
      <c r="AJ71" s="1">
        <v>54</v>
      </c>
      <c r="AK71" s="1">
        <v>70</v>
      </c>
      <c r="AL71" s="1">
        <v>58</v>
      </c>
      <c r="AM71" s="1">
        <v>52</v>
      </c>
      <c r="AN71" s="1">
        <v>129</v>
      </c>
      <c r="AO71" s="3">
        <v>837</v>
      </c>
      <c r="AP71" s="1">
        <v>103</v>
      </c>
      <c r="AQ71" s="1">
        <v>111</v>
      </c>
      <c r="AR71" s="1">
        <v>86</v>
      </c>
      <c r="AS71" s="1">
        <v>86</v>
      </c>
      <c r="AT71" s="1">
        <v>88</v>
      </c>
      <c r="AU71" s="1">
        <v>117</v>
      </c>
      <c r="AV71" s="1">
        <v>117</v>
      </c>
      <c r="AW71" s="1">
        <v>106</v>
      </c>
      <c r="AX71" s="1">
        <v>76</v>
      </c>
      <c r="AY71" s="1">
        <v>100</v>
      </c>
      <c r="AZ71" s="1">
        <v>150</v>
      </c>
      <c r="BA71" s="1">
        <v>179</v>
      </c>
      <c r="BB71" s="3">
        <v>1319</v>
      </c>
      <c r="BC71" s="1">
        <v>208</v>
      </c>
      <c r="BD71" s="1">
        <v>135</v>
      </c>
      <c r="BE71" s="1">
        <v>159</v>
      </c>
      <c r="BF71" s="1">
        <v>128</v>
      </c>
      <c r="BG71" s="1">
        <v>131</v>
      </c>
      <c r="BH71" s="1">
        <v>143</v>
      </c>
      <c r="BI71" s="1">
        <v>107</v>
      </c>
      <c r="BJ71" s="1">
        <v>197</v>
      </c>
      <c r="BK71" s="1">
        <v>135</v>
      </c>
      <c r="BL71" s="1">
        <v>186</v>
      </c>
      <c r="BM71" s="1">
        <v>166</v>
      </c>
      <c r="BN71" s="1">
        <v>278</v>
      </c>
      <c r="BO71" s="3">
        <v>1973</v>
      </c>
      <c r="BP71" s="3">
        <f t="shared" si="2"/>
        <v>4836</v>
      </c>
    </row>
    <row r="72" spans="1:69" x14ac:dyDescent="0.2">
      <c r="A72" s="3">
        <v>27</v>
      </c>
      <c r="B72" t="s">
        <v>79</v>
      </c>
      <c r="C72" s="1">
        <v>1</v>
      </c>
      <c r="D72" s="1">
        <v>0</v>
      </c>
      <c r="E72" s="1">
        <v>0</v>
      </c>
      <c r="F72" s="1">
        <v>1</v>
      </c>
      <c r="G72" s="1">
        <v>2</v>
      </c>
      <c r="H72" s="1">
        <v>7</v>
      </c>
      <c r="I72" s="1">
        <v>2</v>
      </c>
      <c r="J72" s="1">
        <v>0</v>
      </c>
      <c r="K72" s="1">
        <v>1</v>
      </c>
      <c r="L72" s="1">
        <v>2</v>
      </c>
      <c r="M72" s="1">
        <v>5</v>
      </c>
      <c r="N72" s="1">
        <v>0</v>
      </c>
      <c r="O72" s="3">
        <v>21</v>
      </c>
      <c r="P72" s="1">
        <v>4</v>
      </c>
      <c r="Q72" s="1">
        <v>4</v>
      </c>
      <c r="R72" s="1">
        <v>0</v>
      </c>
      <c r="S72" s="1">
        <v>4</v>
      </c>
      <c r="T72" s="1">
        <v>10</v>
      </c>
      <c r="U72" s="1">
        <v>3</v>
      </c>
      <c r="V72" s="1">
        <v>10</v>
      </c>
      <c r="W72" s="1">
        <v>16</v>
      </c>
      <c r="X72" s="1">
        <v>30</v>
      </c>
      <c r="Y72" s="1">
        <v>23</v>
      </c>
      <c r="Z72" s="1">
        <v>36</v>
      </c>
      <c r="AA72" s="1">
        <v>40</v>
      </c>
      <c r="AB72" s="3">
        <v>180</v>
      </c>
      <c r="AC72" s="1">
        <v>37</v>
      </c>
      <c r="AD72" s="1">
        <v>31</v>
      </c>
      <c r="AE72" s="1">
        <v>24</v>
      </c>
      <c r="AF72" s="1">
        <v>10</v>
      </c>
      <c r="AG72" s="1">
        <v>14</v>
      </c>
      <c r="AH72" s="1">
        <v>11</v>
      </c>
      <c r="AI72" s="1">
        <v>39</v>
      </c>
      <c r="AJ72" s="1">
        <v>61</v>
      </c>
      <c r="AK72" s="1">
        <v>18</v>
      </c>
      <c r="AL72" s="1">
        <v>23</v>
      </c>
      <c r="AM72" s="1">
        <v>46</v>
      </c>
      <c r="AN72" s="1">
        <v>45</v>
      </c>
      <c r="AO72" s="3">
        <v>359</v>
      </c>
      <c r="AP72" s="1">
        <v>43</v>
      </c>
      <c r="AQ72" s="1">
        <v>28</v>
      </c>
      <c r="AR72" s="1">
        <v>18</v>
      </c>
      <c r="AS72" s="1">
        <v>26</v>
      </c>
      <c r="AT72" s="1">
        <v>53</v>
      </c>
      <c r="AU72" s="1">
        <v>23</v>
      </c>
      <c r="AV72" s="1">
        <v>27</v>
      </c>
      <c r="AW72" s="1">
        <v>37</v>
      </c>
      <c r="AX72" s="1">
        <v>34</v>
      </c>
      <c r="AY72" s="1">
        <v>34</v>
      </c>
      <c r="AZ72" s="1">
        <v>75</v>
      </c>
      <c r="BA72" s="1">
        <v>42</v>
      </c>
      <c r="BB72" s="3">
        <v>440</v>
      </c>
      <c r="BC72" s="1">
        <v>56</v>
      </c>
      <c r="BD72" s="1">
        <v>50</v>
      </c>
      <c r="BE72" s="1">
        <v>22</v>
      </c>
      <c r="BF72" s="1">
        <v>36</v>
      </c>
      <c r="BG72" s="1">
        <v>21</v>
      </c>
      <c r="BH72" s="1">
        <v>28</v>
      </c>
      <c r="BI72" s="1">
        <v>86</v>
      </c>
      <c r="BJ72" s="1">
        <v>81</v>
      </c>
      <c r="BK72" s="1">
        <v>50</v>
      </c>
      <c r="BL72" s="1">
        <v>41</v>
      </c>
      <c r="BM72" s="1">
        <v>62</v>
      </c>
      <c r="BN72" s="1">
        <v>39</v>
      </c>
      <c r="BO72" s="3">
        <v>572</v>
      </c>
      <c r="BP72" s="3">
        <f t="shared" si="2"/>
        <v>1572</v>
      </c>
    </row>
    <row r="73" spans="1:69" x14ac:dyDescent="0.2">
      <c r="A73" s="3">
        <v>28</v>
      </c>
      <c r="B73" t="s">
        <v>80</v>
      </c>
      <c r="C73" s="1">
        <v>0</v>
      </c>
      <c r="D73" s="1">
        <v>0</v>
      </c>
      <c r="E73" s="1">
        <v>0</v>
      </c>
      <c r="F73" s="1">
        <v>0</v>
      </c>
      <c r="G73" s="1">
        <v>0</v>
      </c>
      <c r="H73" s="1">
        <v>1</v>
      </c>
      <c r="I73" s="1">
        <v>0</v>
      </c>
      <c r="J73" s="1">
        <v>0</v>
      </c>
      <c r="K73" s="1">
        <v>0</v>
      </c>
      <c r="L73" s="1">
        <v>0</v>
      </c>
      <c r="M73" s="1">
        <v>2</v>
      </c>
      <c r="N73" s="1">
        <v>3</v>
      </c>
      <c r="O73" s="3">
        <v>6</v>
      </c>
      <c r="P73" s="1">
        <v>0</v>
      </c>
      <c r="Q73" s="1">
        <v>0</v>
      </c>
      <c r="R73" s="1">
        <v>0</v>
      </c>
      <c r="S73" s="1">
        <v>1</v>
      </c>
      <c r="T73" s="1">
        <v>6</v>
      </c>
      <c r="U73" s="1">
        <v>12</v>
      </c>
      <c r="V73" s="1">
        <v>26</v>
      </c>
      <c r="W73" s="1">
        <v>12</v>
      </c>
      <c r="X73" s="1">
        <v>20</v>
      </c>
      <c r="Y73" s="1">
        <v>32</v>
      </c>
      <c r="Z73" s="1">
        <v>28</v>
      </c>
      <c r="AA73" s="1">
        <v>36</v>
      </c>
      <c r="AB73" s="3">
        <v>173</v>
      </c>
      <c r="AC73" s="1">
        <v>34</v>
      </c>
      <c r="AD73" s="1">
        <v>160</v>
      </c>
      <c r="AE73" s="1">
        <v>44</v>
      </c>
      <c r="AF73" s="1">
        <v>37</v>
      </c>
      <c r="AG73" s="1">
        <v>48</v>
      </c>
      <c r="AH73" s="1">
        <v>18</v>
      </c>
      <c r="AI73" s="1">
        <v>45</v>
      </c>
      <c r="AJ73" s="1">
        <v>51</v>
      </c>
      <c r="AK73" s="1">
        <v>39</v>
      </c>
      <c r="AL73" s="1">
        <v>44</v>
      </c>
      <c r="AM73" s="1">
        <v>47</v>
      </c>
      <c r="AN73" s="1">
        <v>27</v>
      </c>
      <c r="AO73" s="3">
        <v>594</v>
      </c>
      <c r="AP73" s="1">
        <v>84</v>
      </c>
      <c r="AQ73" s="1">
        <v>29</v>
      </c>
      <c r="AR73" s="1">
        <v>36</v>
      </c>
      <c r="AS73" s="1">
        <v>32</v>
      </c>
      <c r="AT73" s="1">
        <v>68</v>
      </c>
      <c r="AU73" s="1">
        <v>63</v>
      </c>
      <c r="AV73" s="1">
        <v>83</v>
      </c>
      <c r="AW73" s="1">
        <v>67</v>
      </c>
      <c r="AX73" s="1">
        <v>66</v>
      </c>
      <c r="AY73" s="1">
        <v>87</v>
      </c>
      <c r="AZ73" s="1">
        <v>79</v>
      </c>
      <c r="BA73" s="1">
        <v>86</v>
      </c>
      <c r="BB73" s="3">
        <v>780</v>
      </c>
      <c r="BC73" s="1">
        <v>99</v>
      </c>
      <c r="BD73" s="1">
        <v>81</v>
      </c>
      <c r="BE73" s="1">
        <v>60</v>
      </c>
      <c r="BF73" s="1">
        <v>57</v>
      </c>
      <c r="BG73" s="1">
        <v>46</v>
      </c>
      <c r="BH73" s="1">
        <v>91</v>
      </c>
      <c r="BI73" s="1">
        <v>85</v>
      </c>
      <c r="BJ73" s="1">
        <v>65</v>
      </c>
      <c r="BK73" s="1">
        <v>77</v>
      </c>
      <c r="BL73" s="1">
        <v>86</v>
      </c>
      <c r="BM73" s="1">
        <v>141</v>
      </c>
      <c r="BN73" s="1">
        <v>72</v>
      </c>
      <c r="BO73" s="3">
        <v>960</v>
      </c>
      <c r="BP73" s="3">
        <f t="shared" si="2"/>
        <v>2513</v>
      </c>
    </row>
    <row r="74" spans="1:69" x14ac:dyDescent="0.2">
      <c r="A74" s="3">
        <v>29</v>
      </c>
      <c r="B74" t="s">
        <v>81</v>
      </c>
      <c r="C74" s="1">
        <v>0</v>
      </c>
      <c r="D74" s="1">
        <v>3</v>
      </c>
      <c r="E74" s="1">
        <v>4</v>
      </c>
      <c r="F74" s="1">
        <v>3</v>
      </c>
      <c r="G74" s="1">
        <v>4</v>
      </c>
      <c r="H74" s="1">
        <v>0</v>
      </c>
      <c r="I74" s="1">
        <v>3</v>
      </c>
      <c r="J74" s="1">
        <v>0</v>
      </c>
      <c r="K74" s="1">
        <v>0</v>
      </c>
      <c r="L74" s="1">
        <v>0</v>
      </c>
      <c r="M74" s="1">
        <v>2</v>
      </c>
      <c r="N74" s="1">
        <v>1</v>
      </c>
      <c r="O74" s="3">
        <v>20</v>
      </c>
      <c r="P74" s="1">
        <v>9</v>
      </c>
      <c r="Q74" s="1">
        <v>24</v>
      </c>
      <c r="R74" s="1">
        <v>14</v>
      </c>
      <c r="S74" s="1">
        <v>11</v>
      </c>
      <c r="T74" s="1">
        <v>7</v>
      </c>
      <c r="U74" s="1">
        <v>6</v>
      </c>
      <c r="V74" s="1">
        <v>12</v>
      </c>
      <c r="W74" s="1">
        <v>16</v>
      </c>
      <c r="X74" s="1">
        <v>11</v>
      </c>
      <c r="Y74" s="1">
        <v>29</v>
      </c>
      <c r="Z74" s="1">
        <v>54</v>
      </c>
      <c r="AA74" s="1">
        <v>21</v>
      </c>
      <c r="AB74" s="3">
        <v>214</v>
      </c>
      <c r="AC74" s="1">
        <v>23</v>
      </c>
      <c r="AD74" s="1">
        <v>6</v>
      </c>
      <c r="AE74" s="1">
        <v>15</v>
      </c>
      <c r="AF74" s="1">
        <v>5</v>
      </c>
      <c r="AG74" s="1">
        <v>12</v>
      </c>
      <c r="AH74" s="1">
        <v>17</v>
      </c>
      <c r="AI74" s="1">
        <v>21</v>
      </c>
      <c r="AJ74" s="1">
        <v>32</v>
      </c>
      <c r="AK74" s="1">
        <v>29</v>
      </c>
      <c r="AL74" s="1">
        <v>33</v>
      </c>
      <c r="AM74" s="1">
        <v>28</v>
      </c>
      <c r="AN74" s="1">
        <v>57</v>
      </c>
      <c r="AO74" s="3">
        <v>278</v>
      </c>
      <c r="AP74" s="1">
        <v>16</v>
      </c>
      <c r="AQ74" s="1">
        <v>19</v>
      </c>
      <c r="AR74" s="1">
        <v>7</v>
      </c>
      <c r="AS74" s="1">
        <v>26</v>
      </c>
      <c r="AT74" s="1">
        <v>14</v>
      </c>
      <c r="AU74" s="1">
        <v>12</v>
      </c>
      <c r="AV74" s="1">
        <v>30</v>
      </c>
      <c r="AW74" s="1">
        <v>24</v>
      </c>
      <c r="AX74" s="1">
        <v>20</v>
      </c>
      <c r="AY74" s="1">
        <v>47</v>
      </c>
      <c r="AZ74" s="1">
        <v>25</v>
      </c>
      <c r="BA74" s="1">
        <v>94</v>
      </c>
      <c r="BB74" s="3">
        <v>334</v>
      </c>
      <c r="BC74" s="1">
        <v>36</v>
      </c>
      <c r="BD74" s="1">
        <v>18</v>
      </c>
      <c r="BE74" s="1">
        <v>19</v>
      </c>
      <c r="BF74" s="1">
        <v>18</v>
      </c>
      <c r="BG74" s="1">
        <v>44</v>
      </c>
      <c r="BH74" s="1">
        <v>52</v>
      </c>
      <c r="BI74" s="1">
        <v>35</v>
      </c>
      <c r="BJ74" s="1">
        <v>48</v>
      </c>
      <c r="BK74" s="1">
        <v>66</v>
      </c>
      <c r="BL74" s="1">
        <v>75</v>
      </c>
      <c r="BM74" s="1">
        <v>46</v>
      </c>
      <c r="BN74" s="1">
        <v>106</v>
      </c>
      <c r="BO74" s="3">
        <v>563</v>
      </c>
      <c r="BP74" s="3">
        <f t="shared" si="2"/>
        <v>1409</v>
      </c>
    </row>
    <row r="75" spans="1:69" x14ac:dyDescent="0.2">
      <c r="A75" s="3">
        <v>30</v>
      </c>
      <c r="B75" t="s">
        <v>82</v>
      </c>
      <c r="C75" s="1">
        <v>0</v>
      </c>
      <c r="D75" s="1">
        <v>0</v>
      </c>
      <c r="E75" s="1">
        <v>0</v>
      </c>
      <c r="F75" s="1">
        <v>0</v>
      </c>
      <c r="G75" s="1">
        <v>3</v>
      </c>
      <c r="H75" s="1">
        <v>0</v>
      </c>
      <c r="I75" s="1">
        <v>0</v>
      </c>
      <c r="J75" s="1">
        <v>0</v>
      </c>
      <c r="K75" s="1">
        <v>0</v>
      </c>
      <c r="L75" s="1">
        <v>3</v>
      </c>
      <c r="M75" s="1">
        <v>4</v>
      </c>
      <c r="N75" s="1">
        <v>2</v>
      </c>
      <c r="O75" s="3">
        <v>12</v>
      </c>
      <c r="P75" s="1">
        <v>0</v>
      </c>
      <c r="Q75" s="1">
        <v>0</v>
      </c>
      <c r="R75" s="1">
        <v>1</v>
      </c>
      <c r="S75" s="1">
        <v>4</v>
      </c>
      <c r="T75" s="1">
        <v>29</v>
      </c>
      <c r="U75" s="1">
        <v>5</v>
      </c>
      <c r="V75" s="1">
        <v>2</v>
      </c>
      <c r="W75" s="1">
        <v>7</v>
      </c>
      <c r="X75" s="1">
        <v>10</v>
      </c>
      <c r="Y75" s="1">
        <v>13</v>
      </c>
      <c r="Z75" s="1">
        <v>34</v>
      </c>
      <c r="AA75" s="1">
        <v>22</v>
      </c>
      <c r="AB75" s="3">
        <v>127</v>
      </c>
      <c r="AC75" s="1">
        <v>9</v>
      </c>
      <c r="AD75" s="1">
        <v>21</v>
      </c>
      <c r="AE75" s="1">
        <v>18</v>
      </c>
      <c r="AF75" s="1">
        <v>6</v>
      </c>
      <c r="AG75" s="1">
        <v>16</v>
      </c>
      <c r="AH75" s="1">
        <v>16</v>
      </c>
      <c r="AI75" s="1">
        <v>26</v>
      </c>
      <c r="AJ75" s="1">
        <v>21</v>
      </c>
      <c r="AK75" s="1">
        <v>80</v>
      </c>
      <c r="AL75" s="1">
        <v>21</v>
      </c>
      <c r="AM75" s="1">
        <v>23</v>
      </c>
      <c r="AN75" s="1">
        <v>24</v>
      </c>
      <c r="AO75" s="3">
        <v>281</v>
      </c>
      <c r="AP75" s="1">
        <v>16</v>
      </c>
      <c r="AQ75" s="1">
        <v>16</v>
      </c>
      <c r="AR75" s="1">
        <v>29</v>
      </c>
      <c r="AS75" s="1">
        <v>19</v>
      </c>
      <c r="AT75" s="1">
        <v>34</v>
      </c>
      <c r="AU75" s="1">
        <v>48</v>
      </c>
      <c r="AV75" s="1">
        <v>33</v>
      </c>
      <c r="AW75" s="1">
        <v>39</v>
      </c>
      <c r="AX75" s="1">
        <v>36</v>
      </c>
      <c r="AY75" s="1">
        <v>26</v>
      </c>
      <c r="AZ75" s="1">
        <v>29</v>
      </c>
      <c r="BA75" s="1">
        <v>59</v>
      </c>
      <c r="BB75" s="3">
        <v>384</v>
      </c>
      <c r="BC75" s="1">
        <v>61</v>
      </c>
      <c r="BD75" s="1">
        <v>37</v>
      </c>
      <c r="BE75" s="1">
        <v>45</v>
      </c>
      <c r="BF75" s="1">
        <v>37</v>
      </c>
      <c r="BG75" s="1">
        <v>33</v>
      </c>
      <c r="BH75" s="1">
        <v>97</v>
      </c>
      <c r="BI75" s="1">
        <v>115</v>
      </c>
      <c r="BJ75" s="1">
        <v>90</v>
      </c>
      <c r="BK75" s="1">
        <v>81</v>
      </c>
      <c r="BL75" s="1">
        <v>55</v>
      </c>
      <c r="BM75" s="1">
        <v>54</v>
      </c>
      <c r="BN75" s="1">
        <v>52</v>
      </c>
      <c r="BO75" s="3">
        <v>757</v>
      </c>
      <c r="BP75" s="3">
        <f t="shared" si="2"/>
        <v>1561</v>
      </c>
    </row>
    <row r="76" spans="1:69" x14ac:dyDescent="0.2">
      <c r="A76" s="3">
        <v>31</v>
      </c>
      <c r="B76" t="s">
        <v>83</v>
      </c>
      <c r="C76" s="1">
        <v>0</v>
      </c>
      <c r="D76" s="1">
        <v>0</v>
      </c>
      <c r="E76" s="1">
        <v>0</v>
      </c>
      <c r="F76" s="1">
        <v>0</v>
      </c>
      <c r="G76" s="1">
        <v>0</v>
      </c>
      <c r="H76" s="1">
        <v>0</v>
      </c>
      <c r="I76" s="1">
        <v>0</v>
      </c>
      <c r="J76" s="1">
        <v>0</v>
      </c>
      <c r="K76" s="1">
        <v>0</v>
      </c>
      <c r="L76" s="1">
        <v>0</v>
      </c>
      <c r="M76" s="1">
        <v>0</v>
      </c>
      <c r="N76" s="1">
        <v>0</v>
      </c>
      <c r="O76" s="3">
        <v>0</v>
      </c>
      <c r="P76" s="1">
        <v>0</v>
      </c>
      <c r="Q76" s="1">
        <v>0</v>
      </c>
      <c r="R76" s="1">
        <v>0</v>
      </c>
      <c r="S76" s="1">
        <v>0</v>
      </c>
      <c r="T76" s="1">
        <v>0</v>
      </c>
      <c r="U76" s="1">
        <v>0</v>
      </c>
      <c r="V76" s="1">
        <v>0</v>
      </c>
      <c r="W76" s="1">
        <v>0</v>
      </c>
      <c r="X76" s="1">
        <v>1</v>
      </c>
      <c r="Y76" s="1">
        <v>1</v>
      </c>
      <c r="Z76" s="1">
        <v>1</v>
      </c>
      <c r="AA76" s="1">
        <v>4</v>
      </c>
      <c r="AB76" s="3">
        <v>7</v>
      </c>
      <c r="AC76" s="1">
        <v>0</v>
      </c>
      <c r="AD76" s="1">
        <v>1</v>
      </c>
      <c r="AE76" s="1">
        <v>1</v>
      </c>
      <c r="AF76" s="1">
        <v>0</v>
      </c>
      <c r="AG76" s="1">
        <v>2</v>
      </c>
      <c r="AH76" s="1">
        <v>1</v>
      </c>
      <c r="AI76" s="1">
        <v>3</v>
      </c>
      <c r="AJ76" s="1">
        <v>0</v>
      </c>
      <c r="AK76" s="1">
        <v>0</v>
      </c>
      <c r="AL76" s="1">
        <v>2</v>
      </c>
      <c r="AM76" s="1">
        <v>4</v>
      </c>
      <c r="AN76" s="1">
        <v>2</v>
      </c>
      <c r="AO76" s="3">
        <v>16</v>
      </c>
      <c r="AP76" s="1">
        <v>1</v>
      </c>
      <c r="AQ76" s="1">
        <v>3</v>
      </c>
      <c r="AR76" s="1">
        <v>1</v>
      </c>
      <c r="AS76" s="1">
        <v>1</v>
      </c>
      <c r="AT76" s="1">
        <v>2</v>
      </c>
      <c r="AU76" s="1">
        <v>0</v>
      </c>
      <c r="AV76" s="1">
        <v>2</v>
      </c>
      <c r="AW76" s="1">
        <v>9</v>
      </c>
      <c r="AX76" s="1">
        <v>4</v>
      </c>
      <c r="AY76" s="1">
        <v>6</v>
      </c>
      <c r="AZ76" s="1">
        <v>5</v>
      </c>
      <c r="BA76" s="1">
        <v>8</v>
      </c>
      <c r="BB76" s="3">
        <v>42</v>
      </c>
      <c r="BC76" s="1">
        <v>2</v>
      </c>
      <c r="BD76" s="1">
        <v>3</v>
      </c>
      <c r="BE76" s="1">
        <v>2</v>
      </c>
      <c r="BF76" s="1">
        <v>3</v>
      </c>
      <c r="BG76" s="1">
        <v>1</v>
      </c>
      <c r="BH76" s="1">
        <v>10</v>
      </c>
      <c r="BI76" s="1">
        <v>3</v>
      </c>
      <c r="BJ76" s="1">
        <v>4</v>
      </c>
      <c r="BK76" s="1">
        <v>5</v>
      </c>
      <c r="BL76" s="1">
        <v>2</v>
      </c>
      <c r="BM76" s="1">
        <v>6</v>
      </c>
      <c r="BN76" s="1">
        <v>4</v>
      </c>
      <c r="BO76" s="3">
        <v>45</v>
      </c>
      <c r="BP76" s="3">
        <f t="shared" si="2"/>
        <v>110</v>
      </c>
    </row>
    <row r="77" spans="1:69" x14ac:dyDescent="0.2">
      <c r="A77" s="3">
        <v>32</v>
      </c>
      <c r="B77" t="s">
        <v>84</v>
      </c>
      <c r="C77" s="1">
        <v>0</v>
      </c>
      <c r="D77" s="1">
        <v>0</v>
      </c>
      <c r="E77" s="1">
        <v>0</v>
      </c>
      <c r="F77" s="1">
        <v>0</v>
      </c>
      <c r="G77" s="1">
        <v>0</v>
      </c>
      <c r="H77" s="1">
        <v>2</v>
      </c>
      <c r="I77" s="1">
        <v>0</v>
      </c>
      <c r="J77" s="1">
        <v>0</v>
      </c>
      <c r="K77" s="1">
        <v>0</v>
      </c>
      <c r="L77" s="1">
        <v>0</v>
      </c>
      <c r="M77" s="1">
        <v>1</v>
      </c>
      <c r="N77" s="1">
        <v>0</v>
      </c>
      <c r="O77" s="3">
        <v>3</v>
      </c>
      <c r="P77" s="1">
        <v>0</v>
      </c>
      <c r="Q77" s="1">
        <v>0</v>
      </c>
      <c r="R77" s="1">
        <v>0</v>
      </c>
      <c r="S77" s="1">
        <v>1</v>
      </c>
      <c r="T77" s="1">
        <v>1</v>
      </c>
      <c r="U77" s="1">
        <v>0</v>
      </c>
      <c r="V77" s="1">
        <v>1</v>
      </c>
      <c r="W77" s="1">
        <v>2</v>
      </c>
      <c r="X77" s="1">
        <v>0</v>
      </c>
      <c r="Y77" s="1">
        <v>0</v>
      </c>
      <c r="Z77" s="1">
        <v>0</v>
      </c>
      <c r="AA77" s="1">
        <v>1</v>
      </c>
      <c r="AB77" s="3">
        <v>6</v>
      </c>
      <c r="AC77" s="1">
        <v>0</v>
      </c>
      <c r="AD77" s="1">
        <v>0</v>
      </c>
      <c r="AE77" s="1">
        <v>0</v>
      </c>
      <c r="AF77" s="1">
        <v>0</v>
      </c>
      <c r="AG77" s="1">
        <v>0</v>
      </c>
      <c r="AH77" s="1">
        <v>1</v>
      </c>
      <c r="AI77" s="1">
        <v>1</v>
      </c>
      <c r="AJ77" s="1">
        <v>3</v>
      </c>
      <c r="AK77" s="1">
        <v>3</v>
      </c>
      <c r="AL77" s="1">
        <v>3</v>
      </c>
      <c r="AM77" s="1">
        <v>0</v>
      </c>
      <c r="AN77" s="1">
        <v>1</v>
      </c>
      <c r="AO77" s="3">
        <v>12</v>
      </c>
      <c r="AP77" s="1">
        <v>0</v>
      </c>
      <c r="AQ77" s="1">
        <v>2</v>
      </c>
      <c r="AR77" s="1">
        <v>1</v>
      </c>
      <c r="AS77" s="1">
        <v>0</v>
      </c>
      <c r="AT77" s="1">
        <v>36</v>
      </c>
      <c r="AU77" s="1">
        <v>223</v>
      </c>
      <c r="AV77" s="1">
        <v>2</v>
      </c>
      <c r="AW77" s="1">
        <v>5</v>
      </c>
      <c r="AX77" s="1">
        <v>2</v>
      </c>
      <c r="AY77" s="1">
        <v>2</v>
      </c>
      <c r="AZ77" s="1">
        <v>3</v>
      </c>
      <c r="BA77" s="1">
        <v>2</v>
      </c>
      <c r="BB77" s="3">
        <v>278</v>
      </c>
      <c r="BC77" s="1">
        <v>4</v>
      </c>
      <c r="BD77" s="1">
        <v>0</v>
      </c>
      <c r="BE77" s="1">
        <v>1</v>
      </c>
      <c r="BF77" s="1">
        <v>5</v>
      </c>
      <c r="BG77" s="1">
        <v>0</v>
      </c>
      <c r="BH77" s="1">
        <v>5</v>
      </c>
      <c r="BI77" s="1">
        <v>4</v>
      </c>
      <c r="BJ77" s="1">
        <v>0</v>
      </c>
      <c r="BK77" s="1">
        <v>4</v>
      </c>
      <c r="BL77" s="1">
        <v>0</v>
      </c>
      <c r="BM77" s="1">
        <v>5</v>
      </c>
      <c r="BN77" s="1">
        <v>4</v>
      </c>
      <c r="BO77" s="3">
        <v>32</v>
      </c>
      <c r="BP77" s="3">
        <f t="shared" si="2"/>
        <v>331</v>
      </c>
    </row>
    <row r="78" spans="1:69" x14ac:dyDescent="0.2">
      <c r="A78" s="3">
        <v>33</v>
      </c>
      <c r="B78" t="s">
        <v>85</v>
      </c>
      <c r="C78" s="1">
        <v>0</v>
      </c>
      <c r="D78" s="1">
        <v>0</v>
      </c>
      <c r="E78" s="1">
        <v>0</v>
      </c>
      <c r="F78" s="1">
        <v>0</v>
      </c>
      <c r="G78" s="1">
        <v>0</v>
      </c>
      <c r="H78" s="1">
        <v>0</v>
      </c>
      <c r="I78" s="1">
        <v>0</v>
      </c>
      <c r="J78" s="1">
        <v>0</v>
      </c>
      <c r="K78" s="1">
        <v>0</v>
      </c>
      <c r="L78" s="1">
        <v>0</v>
      </c>
      <c r="M78" s="1">
        <v>0</v>
      </c>
      <c r="N78" s="1">
        <v>0</v>
      </c>
      <c r="O78" s="3">
        <v>0</v>
      </c>
      <c r="P78" s="1">
        <v>0</v>
      </c>
      <c r="Q78" s="1">
        <v>0</v>
      </c>
      <c r="R78" s="1">
        <v>0</v>
      </c>
      <c r="S78" s="1">
        <v>0</v>
      </c>
      <c r="T78" s="1">
        <v>0</v>
      </c>
      <c r="U78" s="1">
        <v>0</v>
      </c>
      <c r="V78" s="1">
        <v>0</v>
      </c>
      <c r="W78" s="1">
        <v>0</v>
      </c>
      <c r="X78" s="1">
        <v>0</v>
      </c>
      <c r="Y78" s="1">
        <v>0</v>
      </c>
      <c r="Z78" s="1">
        <v>0</v>
      </c>
      <c r="AA78" s="1">
        <v>0</v>
      </c>
      <c r="AB78" s="3">
        <v>0</v>
      </c>
      <c r="AC78" s="1">
        <v>0</v>
      </c>
      <c r="AD78" s="1">
        <v>0</v>
      </c>
      <c r="AE78" s="1">
        <v>0</v>
      </c>
      <c r="AF78" s="1">
        <v>0</v>
      </c>
      <c r="AG78" s="1">
        <v>0</v>
      </c>
      <c r="AH78" s="1">
        <v>0</v>
      </c>
      <c r="AI78" s="1">
        <v>0</v>
      </c>
      <c r="AJ78" s="1">
        <v>0</v>
      </c>
      <c r="AK78" s="1">
        <v>0</v>
      </c>
      <c r="AL78" s="1">
        <v>0</v>
      </c>
      <c r="AM78" s="1">
        <v>0</v>
      </c>
      <c r="AN78" s="1">
        <v>0</v>
      </c>
      <c r="AO78" s="3">
        <v>0</v>
      </c>
      <c r="AP78" s="1">
        <v>0</v>
      </c>
      <c r="AQ78" s="1">
        <v>0</v>
      </c>
      <c r="AR78" s="1">
        <v>0</v>
      </c>
      <c r="AS78" s="1">
        <v>0</v>
      </c>
      <c r="AT78" s="1">
        <v>0</v>
      </c>
      <c r="AU78" s="1">
        <v>0</v>
      </c>
      <c r="AV78" s="1">
        <v>0</v>
      </c>
      <c r="AW78" s="1">
        <v>0</v>
      </c>
      <c r="AX78" s="1">
        <v>0</v>
      </c>
      <c r="AY78" s="1">
        <v>0</v>
      </c>
      <c r="AZ78" s="1">
        <v>0</v>
      </c>
      <c r="BA78" s="1">
        <v>0</v>
      </c>
      <c r="BB78" s="3">
        <v>0</v>
      </c>
      <c r="BC78" s="1">
        <v>0</v>
      </c>
      <c r="BD78" s="1">
        <v>0</v>
      </c>
      <c r="BE78" s="1">
        <v>0</v>
      </c>
      <c r="BF78" s="1">
        <v>0</v>
      </c>
      <c r="BG78" s="1">
        <v>0</v>
      </c>
      <c r="BH78" s="1">
        <v>0</v>
      </c>
      <c r="BI78" s="1">
        <v>0</v>
      </c>
      <c r="BJ78" s="1">
        <v>0</v>
      </c>
      <c r="BK78" s="1">
        <v>0</v>
      </c>
      <c r="BL78" s="1">
        <v>0</v>
      </c>
      <c r="BM78" s="1">
        <v>0</v>
      </c>
      <c r="BN78" s="1">
        <v>0</v>
      </c>
      <c r="BO78" s="3">
        <v>0</v>
      </c>
      <c r="BP78" s="3">
        <f t="shared" si="2"/>
        <v>0</v>
      </c>
    </row>
    <row r="79" spans="1:69" x14ac:dyDescent="0.2">
      <c r="A79" s="3">
        <v>34</v>
      </c>
      <c r="B79" t="s">
        <v>86</v>
      </c>
      <c r="C79" s="1">
        <v>269</v>
      </c>
      <c r="D79" s="1">
        <v>352</v>
      </c>
      <c r="E79" s="1">
        <v>340</v>
      </c>
      <c r="F79" s="1">
        <v>320</v>
      </c>
      <c r="G79" s="1">
        <v>354</v>
      </c>
      <c r="H79" s="1">
        <v>342</v>
      </c>
      <c r="I79" s="1">
        <v>257</v>
      </c>
      <c r="J79" s="1">
        <v>223</v>
      </c>
      <c r="K79" s="1">
        <v>209</v>
      </c>
      <c r="L79" s="1">
        <v>341</v>
      </c>
      <c r="M79" s="1">
        <v>433</v>
      </c>
      <c r="N79" s="1">
        <v>457</v>
      </c>
      <c r="O79" s="3">
        <v>3897</v>
      </c>
      <c r="P79" s="1">
        <v>581</v>
      </c>
      <c r="Q79" s="1">
        <v>689</v>
      </c>
      <c r="R79" s="1">
        <v>748</v>
      </c>
      <c r="S79" s="1">
        <v>1096</v>
      </c>
      <c r="T79" s="1">
        <v>1335</v>
      </c>
      <c r="U79" s="1">
        <v>2071</v>
      </c>
      <c r="V79" s="1">
        <v>3031</v>
      </c>
      <c r="W79" s="1">
        <v>3096</v>
      </c>
      <c r="X79" s="1">
        <v>3802</v>
      </c>
      <c r="Y79" s="1">
        <v>4952</v>
      </c>
      <c r="Z79" s="1">
        <v>5388</v>
      </c>
      <c r="AA79" s="1">
        <v>6788</v>
      </c>
      <c r="AB79" s="3">
        <v>33577</v>
      </c>
      <c r="AC79" s="1">
        <v>15229</v>
      </c>
      <c r="AD79" s="1">
        <v>9320</v>
      </c>
      <c r="AE79" s="1">
        <v>11550</v>
      </c>
      <c r="AF79" s="1">
        <v>11005</v>
      </c>
      <c r="AG79" s="1">
        <v>12649</v>
      </c>
      <c r="AH79" s="1">
        <v>16670</v>
      </c>
      <c r="AI79" s="1">
        <v>18471</v>
      </c>
      <c r="AJ79" s="1">
        <v>17883</v>
      </c>
      <c r="AK79" s="1">
        <v>15871</v>
      </c>
      <c r="AL79" s="1">
        <v>16620</v>
      </c>
      <c r="AM79" s="1">
        <v>14218</v>
      </c>
      <c r="AN79" s="1">
        <v>12757</v>
      </c>
      <c r="AO79" s="3">
        <v>172243</v>
      </c>
      <c r="AP79" s="1">
        <v>14339</v>
      </c>
      <c r="AQ79" s="1">
        <v>22272</v>
      </c>
      <c r="AR79" s="1">
        <v>17511</v>
      </c>
      <c r="AS79" s="1">
        <v>16349</v>
      </c>
      <c r="AT79" s="1">
        <v>17512</v>
      </c>
      <c r="AU79" s="1">
        <v>20124</v>
      </c>
      <c r="AV79" s="1">
        <v>20953</v>
      </c>
      <c r="AW79" s="1">
        <v>20549</v>
      </c>
      <c r="AX79" s="1">
        <v>23943</v>
      </c>
      <c r="AY79" s="1">
        <v>24579</v>
      </c>
      <c r="AZ79" s="1">
        <v>23270</v>
      </c>
      <c r="BA79" s="1">
        <v>19817</v>
      </c>
      <c r="BB79" s="3">
        <v>241218</v>
      </c>
      <c r="BC79" s="1">
        <v>28914</v>
      </c>
      <c r="BD79" s="1">
        <v>20395</v>
      </c>
      <c r="BE79" s="1">
        <v>21426</v>
      </c>
      <c r="BF79" s="1">
        <v>26763</v>
      </c>
      <c r="BG79" s="1">
        <v>28196</v>
      </c>
      <c r="BH79" s="1">
        <v>31840</v>
      </c>
      <c r="BI79" s="1">
        <v>33908</v>
      </c>
      <c r="BJ79" s="1">
        <v>32949</v>
      </c>
      <c r="BK79" s="1">
        <v>29753</v>
      </c>
      <c r="BL79" s="1">
        <v>33640</v>
      </c>
      <c r="BM79" s="1">
        <v>25349</v>
      </c>
      <c r="BN79" s="1">
        <v>25201</v>
      </c>
      <c r="BO79" s="3">
        <v>338334</v>
      </c>
      <c r="BP79" s="3">
        <f t="shared" si="2"/>
        <v>789269</v>
      </c>
    </row>
    <row r="80" spans="1:69" s="2" customFormat="1" x14ac:dyDescent="0.2">
      <c r="A80" s="3" t="s">
        <v>299</v>
      </c>
      <c r="B80" s="2" t="s">
        <v>87</v>
      </c>
      <c r="C80" s="3">
        <v>2431</v>
      </c>
      <c r="D80" s="3">
        <v>5012</v>
      </c>
      <c r="E80" s="3">
        <v>10565</v>
      </c>
      <c r="F80" s="3">
        <v>12928</v>
      </c>
      <c r="G80" s="3">
        <v>7694</v>
      </c>
      <c r="H80" s="3">
        <v>8983</v>
      </c>
      <c r="I80" s="3">
        <v>3985</v>
      </c>
      <c r="J80" s="3">
        <v>1608</v>
      </c>
      <c r="K80" s="3">
        <v>3387</v>
      </c>
      <c r="L80" s="3">
        <v>9877</v>
      </c>
      <c r="M80" s="3">
        <v>9890</v>
      </c>
      <c r="N80" s="3">
        <v>8993</v>
      </c>
      <c r="O80" s="3">
        <v>85353</v>
      </c>
      <c r="P80" s="3">
        <v>8460</v>
      </c>
      <c r="Q80" s="3">
        <v>8845</v>
      </c>
      <c r="R80" s="3">
        <v>13606</v>
      </c>
      <c r="S80" s="3">
        <v>22833</v>
      </c>
      <c r="T80" s="3">
        <v>40173</v>
      </c>
      <c r="U80" s="3">
        <v>59351</v>
      </c>
      <c r="V80" s="3">
        <v>73204</v>
      </c>
      <c r="W80" s="3">
        <v>79390</v>
      </c>
      <c r="X80" s="3">
        <v>86082</v>
      </c>
      <c r="Y80" s="3">
        <v>97304</v>
      </c>
      <c r="Z80" s="3">
        <v>101509</v>
      </c>
      <c r="AA80" s="3">
        <v>131851</v>
      </c>
      <c r="AB80" s="3">
        <v>722608</v>
      </c>
      <c r="AC80" s="3">
        <v>125575</v>
      </c>
      <c r="AD80" s="3">
        <v>130099</v>
      </c>
      <c r="AE80" s="3">
        <v>151572</v>
      </c>
      <c r="AF80" s="3">
        <v>151862</v>
      </c>
      <c r="AG80" s="3">
        <v>191157</v>
      </c>
      <c r="AH80" s="3">
        <v>201356</v>
      </c>
      <c r="AI80" s="3">
        <v>228095</v>
      </c>
      <c r="AJ80" s="3">
        <v>230907</v>
      </c>
      <c r="AK80" s="3">
        <v>229197</v>
      </c>
      <c r="AL80" s="3">
        <v>202988</v>
      </c>
      <c r="AM80" s="3">
        <v>197139</v>
      </c>
      <c r="AN80" s="3">
        <v>214130</v>
      </c>
      <c r="AO80" s="3">
        <v>2254077</v>
      </c>
      <c r="AP80" s="3">
        <v>208172</v>
      </c>
      <c r="AQ80" s="3">
        <v>251983</v>
      </c>
      <c r="AR80" s="3">
        <v>226836</v>
      </c>
      <c r="AS80" s="3">
        <v>218763</v>
      </c>
      <c r="AT80" s="3">
        <v>263061</v>
      </c>
      <c r="AU80" s="3">
        <v>265988</v>
      </c>
      <c r="AV80" s="3">
        <v>296732</v>
      </c>
      <c r="AW80" s="3">
        <v>303842</v>
      </c>
      <c r="AX80" s="3">
        <v>280452</v>
      </c>
      <c r="AY80" s="3">
        <v>254221</v>
      </c>
      <c r="AZ80" s="3">
        <v>244324</v>
      </c>
      <c r="BA80" s="3">
        <v>254686</v>
      </c>
      <c r="BB80" s="3">
        <v>3069060</v>
      </c>
      <c r="BC80" s="3">
        <v>274992</v>
      </c>
      <c r="BD80" s="3">
        <v>242345</v>
      </c>
      <c r="BE80" s="3">
        <v>229752</v>
      </c>
      <c r="BF80" s="3">
        <v>266567</v>
      </c>
      <c r="BG80" s="3">
        <v>308145</v>
      </c>
      <c r="BH80" s="3">
        <v>316004</v>
      </c>
      <c r="BI80" s="3">
        <v>346366</v>
      </c>
      <c r="BJ80" s="3">
        <v>347544</v>
      </c>
      <c r="BK80" s="3">
        <v>297651</v>
      </c>
      <c r="BL80" s="3">
        <v>305934</v>
      </c>
      <c r="BM80" s="3">
        <v>272873</v>
      </c>
      <c r="BN80" s="3">
        <v>290718</v>
      </c>
      <c r="BO80" s="3">
        <v>3498891</v>
      </c>
      <c r="BP80" s="3"/>
      <c r="BQ80"/>
    </row>
    <row r="81" spans="1:68" x14ac:dyDescent="0.2">
      <c r="A81" s="3">
        <v>35</v>
      </c>
      <c r="B81" t="s">
        <v>88</v>
      </c>
      <c r="C81" s="1">
        <v>100</v>
      </c>
      <c r="D81" s="1">
        <v>70</v>
      </c>
      <c r="E81" s="1">
        <v>48</v>
      </c>
      <c r="F81" s="1">
        <v>45</v>
      </c>
      <c r="G81" s="1">
        <v>381</v>
      </c>
      <c r="H81" s="1">
        <v>677</v>
      </c>
      <c r="I81" s="1">
        <v>222</v>
      </c>
      <c r="J81" s="1">
        <v>139</v>
      </c>
      <c r="K81" s="1">
        <v>123</v>
      </c>
      <c r="L81" s="1">
        <v>70</v>
      </c>
      <c r="M81" s="1">
        <v>86</v>
      </c>
      <c r="N81" s="1">
        <v>92</v>
      </c>
      <c r="O81" s="3">
        <v>2053</v>
      </c>
      <c r="P81" s="1">
        <v>113</v>
      </c>
      <c r="Q81" s="1">
        <v>134</v>
      </c>
      <c r="R81" s="1">
        <v>260</v>
      </c>
      <c r="S81" s="1">
        <v>201</v>
      </c>
      <c r="T81" s="1">
        <v>559</v>
      </c>
      <c r="U81" s="1">
        <v>2868</v>
      </c>
      <c r="V81" s="1">
        <v>10570</v>
      </c>
      <c r="W81" s="1">
        <v>6922</v>
      </c>
      <c r="X81" s="1">
        <v>5321</v>
      </c>
      <c r="Y81" s="1">
        <v>5459</v>
      </c>
      <c r="Z81" s="1">
        <v>8898</v>
      </c>
      <c r="AA81" s="1">
        <v>6167</v>
      </c>
      <c r="AB81" s="3">
        <v>47472</v>
      </c>
      <c r="AC81" s="1">
        <v>5867</v>
      </c>
      <c r="AD81" s="1">
        <v>5591</v>
      </c>
      <c r="AE81" s="1">
        <v>4462</v>
      </c>
      <c r="AF81" s="1">
        <v>4434</v>
      </c>
      <c r="AG81" s="1">
        <v>8483</v>
      </c>
      <c r="AH81" s="1">
        <v>12306</v>
      </c>
      <c r="AI81" s="1">
        <v>16430</v>
      </c>
      <c r="AJ81" s="1">
        <v>11591</v>
      </c>
      <c r="AK81" s="1">
        <v>8781</v>
      </c>
      <c r="AL81" s="1">
        <v>8327</v>
      </c>
      <c r="AM81" s="1">
        <v>12900</v>
      </c>
      <c r="AN81" s="1">
        <v>8512</v>
      </c>
      <c r="AO81" s="3">
        <v>107684</v>
      </c>
      <c r="AP81" s="1">
        <v>9314</v>
      </c>
      <c r="AQ81" s="1">
        <v>8452</v>
      </c>
      <c r="AR81" s="1">
        <v>1062</v>
      </c>
      <c r="AS81" s="1">
        <v>8644</v>
      </c>
      <c r="AT81" s="1">
        <v>10159</v>
      </c>
      <c r="AU81" s="1">
        <v>19209</v>
      </c>
      <c r="AV81" s="1">
        <v>21580</v>
      </c>
      <c r="AW81" s="1">
        <v>10572</v>
      </c>
      <c r="AX81" s="1">
        <v>10999</v>
      </c>
      <c r="AY81" s="1">
        <v>10053</v>
      </c>
      <c r="AZ81" s="1">
        <v>16250</v>
      </c>
      <c r="BA81" s="1">
        <v>9266</v>
      </c>
      <c r="BB81" s="3">
        <v>135560</v>
      </c>
      <c r="BC81" s="1">
        <v>9636</v>
      </c>
      <c r="BD81" s="1">
        <v>4034</v>
      </c>
      <c r="BE81" s="1">
        <v>2413</v>
      </c>
      <c r="BF81" s="1">
        <v>10820</v>
      </c>
      <c r="BG81" s="1">
        <v>13784</v>
      </c>
      <c r="BH81" s="1">
        <v>16021</v>
      </c>
      <c r="BI81" s="1">
        <v>25923</v>
      </c>
      <c r="BJ81" s="1">
        <v>18415</v>
      </c>
      <c r="BK81" s="1">
        <v>12639</v>
      </c>
      <c r="BL81" s="1">
        <v>12176</v>
      </c>
      <c r="BM81" s="1">
        <v>18321</v>
      </c>
      <c r="BN81" s="1">
        <v>12136</v>
      </c>
      <c r="BO81" s="3">
        <v>156318</v>
      </c>
      <c r="BP81" s="3">
        <f t="shared" si="2"/>
        <v>449087</v>
      </c>
    </row>
    <row r="82" spans="1:68" x14ac:dyDescent="0.2">
      <c r="A82" s="3">
        <v>36</v>
      </c>
      <c r="B82" t="s">
        <v>89</v>
      </c>
      <c r="C82" s="1">
        <v>2</v>
      </c>
      <c r="D82" s="1">
        <v>3</v>
      </c>
      <c r="E82" s="1">
        <v>5</v>
      </c>
      <c r="F82" s="1">
        <v>7</v>
      </c>
      <c r="G82" s="1">
        <v>13</v>
      </c>
      <c r="H82" s="1">
        <v>19</v>
      </c>
      <c r="I82" s="1">
        <v>5</v>
      </c>
      <c r="J82" s="1">
        <v>0</v>
      </c>
      <c r="K82" s="1">
        <v>6</v>
      </c>
      <c r="L82" s="1">
        <v>3</v>
      </c>
      <c r="M82" s="1">
        <v>13</v>
      </c>
      <c r="N82" s="1">
        <v>13</v>
      </c>
      <c r="O82" s="3">
        <v>89</v>
      </c>
      <c r="P82" s="1">
        <v>15</v>
      </c>
      <c r="Q82" s="1">
        <v>26</v>
      </c>
      <c r="R82" s="1">
        <v>82</v>
      </c>
      <c r="S82" s="1">
        <v>14</v>
      </c>
      <c r="T82" s="1">
        <v>174</v>
      </c>
      <c r="U82" s="1">
        <v>302</v>
      </c>
      <c r="V82" s="1">
        <v>551</v>
      </c>
      <c r="W82" s="1">
        <v>341</v>
      </c>
      <c r="X82" s="1">
        <v>356</v>
      </c>
      <c r="Y82" s="1">
        <v>339</v>
      </c>
      <c r="Z82" s="1">
        <v>394</v>
      </c>
      <c r="AA82" s="1">
        <v>386</v>
      </c>
      <c r="AB82" s="3">
        <v>2980</v>
      </c>
      <c r="AC82" s="1">
        <v>660</v>
      </c>
      <c r="AD82" s="1">
        <v>670</v>
      </c>
      <c r="AE82" s="1">
        <v>292</v>
      </c>
      <c r="AF82" s="1">
        <v>216</v>
      </c>
      <c r="AG82" s="1">
        <v>720</v>
      </c>
      <c r="AH82" s="1">
        <v>1003</v>
      </c>
      <c r="AI82" s="1">
        <v>1946</v>
      </c>
      <c r="AJ82" s="1">
        <v>1001</v>
      </c>
      <c r="AK82" s="1">
        <v>600</v>
      </c>
      <c r="AL82" s="1">
        <v>776</v>
      </c>
      <c r="AM82" s="1">
        <v>773</v>
      </c>
      <c r="AN82" s="1">
        <v>658</v>
      </c>
      <c r="AO82" s="3">
        <v>9315</v>
      </c>
      <c r="AP82" s="1">
        <v>1269</v>
      </c>
      <c r="AQ82" s="1">
        <v>706</v>
      </c>
      <c r="AR82" s="1">
        <v>81</v>
      </c>
      <c r="AS82" s="1">
        <v>556</v>
      </c>
      <c r="AT82" s="1">
        <v>875</v>
      </c>
      <c r="AU82" s="1">
        <v>736</v>
      </c>
      <c r="AV82" s="1">
        <v>2932</v>
      </c>
      <c r="AW82" s="1">
        <v>1740</v>
      </c>
      <c r="AX82" s="1">
        <v>766</v>
      </c>
      <c r="AY82" s="1">
        <v>1500</v>
      </c>
      <c r="AZ82" s="1">
        <v>1631</v>
      </c>
      <c r="BA82" s="1">
        <v>864</v>
      </c>
      <c r="BB82" s="3">
        <v>13656</v>
      </c>
      <c r="BC82" s="1">
        <v>1155</v>
      </c>
      <c r="BD82" s="1">
        <v>827</v>
      </c>
      <c r="BE82" s="1">
        <v>126</v>
      </c>
      <c r="BF82" s="1">
        <v>890</v>
      </c>
      <c r="BG82" s="1">
        <v>1300</v>
      </c>
      <c r="BH82" s="1">
        <v>2486</v>
      </c>
      <c r="BI82" s="1">
        <v>2831</v>
      </c>
      <c r="BJ82" s="1">
        <v>1958</v>
      </c>
      <c r="BK82" s="1">
        <v>1102</v>
      </c>
      <c r="BL82" s="1">
        <v>1308</v>
      </c>
      <c r="BM82" s="1">
        <v>1391</v>
      </c>
      <c r="BN82" s="1">
        <v>1289</v>
      </c>
      <c r="BO82" s="3">
        <v>16663</v>
      </c>
      <c r="BP82" s="3">
        <f t="shared" si="2"/>
        <v>42703</v>
      </c>
    </row>
    <row r="83" spans="1:68" x14ac:dyDescent="0.2">
      <c r="A83" s="3">
        <v>37</v>
      </c>
      <c r="B83" t="s">
        <v>90</v>
      </c>
      <c r="C83" s="1">
        <v>21</v>
      </c>
      <c r="D83" s="1">
        <v>39</v>
      </c>
      <c r="E83" s="1">
        <v>48</v>
      </c>
      <c r="F83" s="1">
        <v>45</v>
      </c>
      <c r="G83" s="1">
        <v>78</v>
      </c>
      <c r="H83" s="1">
        <v>57</v>
      </c>
      <c r="I83" s="1">
        <v>32</v>
      </c>
      <c r="J83" s="1">
        <v>23</v>
      </c>
      <c r="K83" s="1">
        <v>24</v>
      </c>
      <c r="L83" s="1">
        <v>72</v>
      </c>
      <c r="M83" s="1">
        <v>92</v>
      </c>
      <c r="N83" s="1">
        <v>80</v>
      </c>
      <c r="O83" s="3">
        <v>611</v>
      </c>
      <c r="P83" s="1">
        <v>83</v>
      </c>
      <c r="Q83" s="1">
        <v>135</v>
      </c>
      <c r="R83" s="1">
        <v>159</v>
      </c>
      <c r="S83" s="1">
        <v>110</v>
      </c>
      <c r="T83" s="1">
        <v>224</v>
      </c>
      <c r="U83" s="1">
        <v>495</v>
      </c>
      <c r="V83" s="1">
        <v>828</v>
      </c>
      <c r="W83" s="1">
        <v>847</v>
      </c>
      <c r="X83" s="1">
        <v>1096</v>
      </c>
      <c r="Y83" s="1">
        <v>1108</v>
      </c>
      <c r="Z83" s="1">
        <v>1078</v>
      </c>
      <c r="AA83" s="1">
        <v>1163</v>
      </c>
      <c r="AB83" s="3">
        <v>7326</v>
      </c>
      <c r="AC83" s="1">
        <v>737</v>
      </c>
      <c r="AD83" s="1">
        <v>920</v>
      </c>
      <c r="AE83" s="1">
        <v>735</v>
      </c>
      <c r="AF83" s="1">
        <v>939</v>
      </c>
      <c r="AG83" s="1">
        <v>1629</v>
      </c>
      <c r="AH83" s="1">
        <v>1597</v>
      </c>
      <c r="AI83" s="1">
        <v>1563</v>
      </c>
      <c r="AJ83" s="1">
        <v>1770</v>
      </c>
      <c r="AK83" s="1">
        <v>1780</v>
      </c>
      <c r="AL83" s="1">
        <v>1924</v>
      </c>
      <c r="AM83" s="1">
        <v>1497</v>
      </c>
      <c r="AN83" s="1">
        <v>1741</v>
      </c>
      <c r="AO83" s="3">
        <v>16832</v>
      </c>
      <c r="AP83" s="1">
        <v>1293</v>
      </c>
      <c r="AQ83" s="1">
        <v>1310</v>
      </c>
      <c r="AR83" s="1">
        <v>601</v>
      </c>
      <c r="AS83" s="1">
        <v>1805</v>
      </c>
      <c r="AT83" s="1">
        <v>1740</v>
      </c>
      <c r="AU83" s="1">
        <v>1832</v>
      </c>
      <c r="AV83" s="1">
        <v>2350</v>
      </c>
      <c r="AW83" s="1">
        <v>1609</v>
      </c>
      <c r="AX83" s="1">
        <v>1880</v>
      </c>
      <c r="AY83" s="1">
        <v>2043</v>
      </c>
      <c r="AZ83" s="1">
        <v>1549</v>
      </c>
      <c r="BA83" s="1">
        <v>1671</v>
      </c>
      <c r="BB83" s="3">
        <v>19683</v>
      </c>
      <c r="BC83" s="1">
        <v>1131</v>
      </c>
      <c r="BD83" s="1">
        <v>1045</v>
      </c>
      <c r="BE83" s="1">
        <v>801</v>
      </c>
      <c r="BF83" s="1">
        <v>1995</v>
      </c>
      <c r="BG83" s="1">
        <v>2134</v>
      </c>
      <c r="BH83" s="1">
        <v>2697</v>
      </c>
      <c r="BI83" s="1">
        <v>2218</v>
      </c>
      <c r="BJ83" s="1">
        <v>1933</v>
      </c>
      <c r="BK83" s="1">
        <v>2137</v>
      </c>
      <c r="BL83" s="1">
        <v>2386</v>
      </c>
      <c r="BM83" s="1">
        <v>1710</v>
      </c>
      <c r="BN83" s="1">
        <v>1843</v>
      </c>
      <c r="BO83" s="3">
        <v>22030</v>
      </c>
      <c r="BP83" s="3">
        <f t="shared" si="2"/>
        <v>66482</v>
      </c>
    </row>
    <row r="84" spans="1:68" x14ac:dyDescent="0.2">
      <c r="A84" s="3">
        <v>38</v>
      </c>
      <c r="B84" t="s">
        <v>91</v>
      </c>
      <c r="C84" s="1">
        <v>1</v>
      </c>
      <c r="D84" s="1">
        <v>1</v>
      </c>
      <c r="E84" s="1">
        <v>8</v>
      </c>
      <c r="F84" s="1">
        <v>17</v>
      </c>
      <c r="G84" s="1">
        <v>22</v>
      </c>
      <c r="H84" s="1">
        <v>31</v>
      </c>
      <c r="I84" s="1">
        <v>9</v>
      </c>
      <c r="J84" s="1">
        <v>1</v>
      </c>
      <c r="K84" s="1">
        <v>9</v>
      </c>
      <c r="L84" s="1">
        <v>28</v>
      </c>
      <c r="M84" s="1">
        <v>13</v>
      </c>
      <c r="N84" s="1">
        <v>27</v>
      </c>
      <c r="O84" s="3">
        <v>167</v>
      </c>
      <c r="P84" s="1">
        <v>16</v>
      </c>
      <c r="Q84" s="1">
        <v>14</v>
      </c>
      <c r="R84" s="1">
        <v>58</v>
      </c>
      <c r="S84" s="1">
        <v>57</v>
      </c>
      <c r="T84" s="1">
        <v>78</v>
      </c>
      <c r="U84" s="1">
        <v>202</v>
      </c>
      <c r="V84" s="1">
        <v>407</v>
      </c>
      <c r="W84" s="1">
        <v>308</v>
      </c>
      <c r="X84" s="1">
        <v>310</v>
      </c>
      <c r="Y84" s="1">
        <v>306</v>
      </c>
      <c r="Z84" s="1">
        <v>336</v>
      </c>
      <c r="AA84" s="1">
        <v>424</v>
      </c>
      <c r="AB84" s="3">
        <v>2516</v>
      </c>
      <c r="AC84" s="1">
        <v>371</v>
      </c>
      <c r="AD84" s="1">
        <v>336</v>
      </c>
      <c r="AE84" s="1">
        <v>321</v>
      </c>
      <c r="AF84" s="1">
        <v>331</v>
      </c>
      <c r="AG84" s="1">
        <v>505</v>
      </c>
      <c r="AH84" s="1">
        <v>558</v>
      </c>
      <c r="AI84" s="1">
        <v>844</v>
      </c>
      <c r="AJ84" s="1">
        <v>706</v>
      </c>
      <c r="AK84" s="1">
        <v>620</v>
      </c>
      <c r="AL84" s="1">
        <v>509</v>
      </c>
      <c r="AM84" s="1">
        <v>428</v>
      </c>
      <c r="AN84" s="1">
        <v>611</v>
      </c>
      <c r="AO84" s="3">
        <v>6140</v>
      </c>
      <c r="AP84" s="1">
        <v>486</v>
      </c>
      <c r="AQ84" s="1">
        <v>490</v>
      </c>
      <c r="AR84" s="1">
        <v>333</v>
      </c>
      <c r="AS84" s="1">
        <v>740</v>
      </c>
      <c r="AT84" s="1">
        <v>505</v>
      </c>
      <c r="AU84" s="1">
        <v>893</v>
      </c>
      <c r="AV84" s="1">
        <v>1049</v>
      </c>
      <c r="AW84" s="1">
        <v>639</v>
      </c>
      <c r="AX84" s="1">
        <v>706</v>
      </c>
      <c r="AY84" s="1">
        <v>589</v>
      </c>
      <c r="AZ84" s="1">
        <v>589</v>
      </c>
      <c r="BA84" s="1">
        <v>613</v>
      </c>
      <c r="BB84" s="3">
        <v>7632</v>
      </c>
      <c r="BC84" s="1">
        <v>622</v>
      </c>
      <c r="BD84" s="1">
        <v>549</v>
      </c>
      <c r="BE84" s="1">
        <v>449</v>
      </c>
      <c r="BF84" s="1">
        <v>776</v>
      </c>
      <c r="BG84" s="1">
        <v>715</v>
      </c>
      <c r="BH84" s="1">
        <v>987</v>
      </c>
      <c r="BI84" s="1">
        <v>1093</v>
      </c>
      <c r="BJ84" s="1">
        <v>906</v>
      </c>
      <c r="BK84" s="1">
        <v>914</v>
      </c>
      <c r="BL84" s="1">
        <v>902</v>
      </c>
      <c r="BM84" s="1">
        <v>786</v>
      </c>
      <c r="BN84" s="1">
        <v>767</v>
      </c>
      <c r="BO84" s="3">
        <v>9466</v>
      </c>
      <c r="BP84" s="3">
        <f t="shared" si="2"/>
        <v>25921</v>
      </c>
    </row>
    <row r="85" spans="1:68" x14ac:dyDescent="0.2">
      <c r="A85" s="3">
        <v>39</v>
      </c>
      <c r="B85" t="s">
        <v>92</v>
      </c>
      <c r="C85" s="1">
        <v>25</v>
      </c>
      <c r="D85" s="1">
        <v>24</v>
      </c>
      <c r="E85" s="1">
        <v>48</v>
      </c>
      <c r="F85" s="1">
        <v>31</v>
      </c>
      <c r="G85" s="1">
        <v>36</v>
      </c>
      <c r="H85" s="1">
        <v>47</v>
      </c>
      <c r="I85" s="1">
        <v>18</v>
      </c>
      <c r="J85" s="1">
        <v>16</v>
      </c>
      <c r="K85" s="1">
        <v>26</v>
      </c>
      <c r="L85" s="1">
        <v>30</v>
      </c>
      <c r="M85" s="1">
        <v>43</v>
      </c>
      <c r="N85" s="1">
        <v>40</v>
      </c>
      <c r="O85" s="3">
        <v>384</v>
      </c>
      <c r="P85" s="1">
        <v>36</v>
      </c>
      <c r="Q85" s="1">
        <v>64</v>
      </c>
      <c r="R85" s="1">
        <v>119</v>
      </c>
      <c r="S85" s="1">
        <v>118</v>
      </c>
      <c r="T85" s="1">
        <v>603</v>
      </c>
      <c r="U85" s="1">
        <v>423</v>
      </c>
      <c r="V85" s="1">
        <v>739</v>
      </c>
      <c r="W85" s="1">
        <v>594</v>
      </c>
      <c r="X85" s="1">
        <v>493</v>
      </c>
      <c r="Y85" s="1">
        <v>472</v>
      </c>
      <c r="Z85" s="1">
        <v>838</v>
      </c>
      <c r="AA85" s="1">
        <v>957</v>
      </c>
      <c r="AB85" s="3">
        <v>5456</v>
      </c>
      <c r="AC85" s="1">
        <v>504</v>
      </c>
      <c r="AD85" s="1">
        <v>536</v>
      </c>
      <c r="AE85" s="1">
        <v>557</v>
      </c>
      <c r="AF85" s="1">
        <v>549</v>
      </c>
      <c r="AG85" s="1">
        <v>728</v>
      </c>
      <c r="AH85" s="1">
        <v>1062</v>
      </c>
      <c r="AI85" s="1">
        <v>1235</v>
      </c>
      <c r="AJ85" s="1">
        <v>864</v>
      </c>
      <c r="AK85" s="1">
        <v>594</v>
      </c>
      <c r="AL85" s="1">
        <v>562</v>
      </c>
      <c r="AM85" s="1">
        <v>522</v>
      </c>
      <c r="AN85" s="1">
        <v>824</v>
      </c>
      <c r="AO85" s="3">
        <v>8537</v>
      </c>
      <c r="AP85" s="1">
        <v>620</v>
      </c>
      <c r="AQ85" s="1">
        <v>642</v>
      </c>
      <c r="AR85" s="1">
        <v>292</v>
      </c>
      <c r="AS85" s="1">
        <v>865</v>
      </c>
      <c r="AT85" s="1">
        <v>694</v>
      </c>
      <c r="AU85" s="1">
        <v>951</v>
      </c>
      <c r="AV85" s="1">
        <v>1392</v>
      </c>
      <c r="AW85" s="1">
        <v>1167</v>
      </c>
      <c r="AX85" s="1">
        <v>606</v>
      </c>
      <c r="AY85" s="1">
        <v>527</v>
      </c>
      <c r="AZ85" s="1">
        <v>560</v>
      </c>
      <c r="BA85" s="1">
        <v>722</v>
      </c>
      <c r="BB85" s="3">
        <v>9038</v>
      </c>
      <c r="BC85" s="1">
        <v>513</v>
      </c>
      <c r="BD85" s="1">
        <v>527</v>
      </c>
      <c r="BE85" s="1">
        <v>296</v>
      </c>
      <c r="BF85" s="1">
        <v>929</v>
      </c>
      <c r="BG85" s="1">
        <v>1063</v>
      </c>
      <c r="BH85" s="1">
        <v>1529</v>
      </c>
      <c r="BI85" s="1">
        <v>1679</v>
      </c>
      <c r="BJ85" s="1">
        <v>1287</v>
      </c>
      <c r="BK85" s="1">
        <v>878</v>
      </c>
      <c r="BL85" s="1">
        <v>900</v>
      </c>
      <c r="BM85" s="1">
        <v>820</v>
      </c>
      <c r="BN85" s="1">
        <v>872</v>
      </c>
      <c r="BO85" s="3">
        <v>11293</v>
      </c>
      <c r="BP85" s="3">
        <f t="shared" si="2"/>
        <v>34708</v>
      </c>
    </row>
    <row r="86" spans="1:68" x14ac:dyDescent="0.2">
      <c r="A86" s="3">
        <v>40</v>
      </c>
      <c r="B86" t="s">
        <v>93</v>
      </c>
      <c r="C86" s="1">
        <v>1</v>
      </c>
      <c r="D86" s="1">
        <v>76</v>
      </c>
      <c r="E86" s="1">
        <v>27</v>
      </c>
      <c r="F86" s="1">
        <v>33</v>
      </c>
      <c r="G86" s="1">
        <v>89</v>
      </c>
      <c r="H86" s="1">
        <v>104</v>
      </c>
      <c r="I86" s="1">
        <v>24</v>
      </c>
      <c r="J86" s="1">
        <v>0</v>
      </c>
      <c r="K86" s="1">
        <v>23</v>
      </c>
      <c r="L86" s="1">
        <v>121</v>
      </c>
      <c r="M86" s="1">
        <v>157</v>
      </c>
      <c r="N86" s="1">
        <v>103</v>
      </c>
      <c r="O86" s="3">
        <v>758</v>
      </c>
      <c r="P86" s="1">
        <v>93</v>
      </c>
      <c r="Q86" s="1">
        <v>121</v>
      </c>
      <c r="R86" s="1">
        <v>120</v>
      </c>
      <c r="S86" s="1">
        <v>78</v>
      </c>
      <c r="T86" s="1">
        <v>200</v>
      </c>
      <c r="U86" s="1">
        <v>268</v>
      </c>
      <c r="V86" s="1">
        <v>394</v>
      </c>
      <c r="W86" s="1">
        <v>444</v>
      </c>
      <c r="X86" s="1">
        <v>378</v>
      </c>
      <c r="Y86" s="1">
        <v>308</v>
      </c>
      <c r="Z86" s="1">
        <v>448</v>
      </c>
      <c r="AA86" s="1">
        <v>356</v>
      </c>
      <c r="AB86" s="3">
        <v>3208</v>
      </c>
      <c r="AC86" s="1">
        <v>362</v>
      </c>
      <c r="AD86" s="1">
        <v>295</v>
      </c>
      <c r="AE86" s="1">
        <v>278</v>
      </c>
      <c r="AF86" s="1">
        <v>272</v>
      </c>
      <c r="AG86" s="1">
        <v>401</v>
      </c>
      <c r="AH86" s="1">
        <v>747</v>
      </c>
      <c r="AI86" s="1">
        <v>601</v>
      </c>
      <c r="AJ86" s="1">
        <v>779</v>
      </c>
      <c r="AK86" s="1">
        <v>556</v>
      </c>
      <c r="AL86" s="1">
        <v>499</v>
      </c>
      <c r="AM86" s="1">
        <v>647</v>
      </c>
      <c r="AN86" s="1">
        <v>499</v>
      </c>
      <c r="AO86" s="3">
        <v>5936</v>
      </c>
      <c r="AP86" s="1">
        <v>506</v>
      </c>
      <c r="AQ86" s="1">
        <v>539</v>
      </c>
      <c r="AR86" s="1">
        <v>161</v>
      </c>
      <c r="AS86" s="1">
        <v>357</v>
      </c>
      <c r="AT86" s="1">
        <v>523</v>
      </c>
      <c r="AU86" s="1">
        <v>719</v>
      </c>
      <c r="AV86" s="1">
        <v>863</v>
      </c>
      <c r="AW86" s="1">
        <v>622</v>
      </c>
      <c r="AX86" s="1">
        <v>682</v>
      </c>
      <c r="AY86" s="1">
        <v>645</v>
      </c>
      <c r="AZ86" s="1">
        <v>617</v>
      </c>
      <c r="BA86" s="1">
        <v>505</v>
      </c>
      <c r="BB86" s="3">
        <v>6739</v>
      </c>
      <c r="BC86" s="1">
        <v>461</v>
      </c>
      <c r="BD86" s="1">
        <v>305</v>
      </c>
      <c r="BE86" s="1">
        <v>205</v>
      </c>
      <c r="BF86" s="1">
        <v>481</v>
      </c>
      <c r="BG86" s="1">
        <v>722</v>
      </c>
      <c r="BH86" s="1">
        <v>817</v>
      </c>
      <c r="BI86" s="1">
        <v>1030</v>
      </c>
      <c r="BJ86" s="1">
        <v>924</v>
      </c>
      <c r="BK86" s="1">
        <v>651</v>
      </c>
      <c r="BL86" s="1">
        <v>720</v>
      </c>
      <c r="BM86" s="1">
        <v>778</v>
      </c>
      <c r="BN86" s="1">
        <v>667</v>
      </c>
      <c r="BO86" s="3">
        <v>7761</v>
      </c>
      <c r="BP86" s="3">
        <f t="shared" si="2"/>
        <v>24402</v>
      </c>
    </row>
    <row r="87" spans="1:68" x14ac:dyDescent="0.2">
      <c r="A87" s="3">
        <v>41</v>
      </c>
      <c r="B87" t="s">
        <v>94</v>
      </c>
      <c r="C87" s="1">
        <v>68</v>
      </c>
      <c r="D87" s="1">
        <v>104</v>
      </c>
      <c r="E87" s="1">
        <v>98</v>
      </c>
      <c r="F87" s="1">
        <v>180</v>
      </c>
      <c r="G87" s="1">
        <v>180</v>
      </c>
      <c r="H87" s="1">
        <v>158</v>
      </c>
      <c r="I87" s="1">
        <v>80</v>
      </c>
      <c r="J87" s="1">
        <v>64</v>
      </c>
      <c r="K87" s="1">
        <v>76</v>
      </c>
      <c r="L87" s="1">
        <v>173</v>
      </c>
      <c r="M87" s="1">
        <v>199</v>
      </c>
      <c r="N87" s="1">
        <v>197</v>
      </c>
      <c r="O87" s="3">
        <v>1577</v>
      </c>
      <c r="P87" s="1">
        <v>189</v>
      </c>
      <c r="Q87" s="1">
        <v>183</v>
      </c>
      <c r="R87" s="1">
        <v>448</v>
      </c>
      <c r="S87" s="1">
        <v>416</v>
      </c>
      <c r="T87" s="1">
        <v>773</v>
      </c>
      <c r="U87" s="1">
        <v>1262</v>
      </c>
      <c r="V87" s="1">
        <v>1901</v>
      </c>
      <c r="W87" s="1">
        <v>1831</v>
      </c>
      <c r="X87" s="1">
        <v>1753</v>
      </c>
      <c r="Y87" s="1">
        <v>1432</v>
      </c>
      <c r="Z87" s="1">
        <v>1320</v>
      </c>
      <c r="AA87" s="1">
        <v>1368</v>
      </c>
      <c r="AB87" s="3">
        <v>12876</v>
      </c>
      <c r="AC87" s="1">
        <v>1398</v>
      </c>
      <c r="AD87" s="1">
        <v>1360</v>
      </c>
      <c r="AE87" s="1">
        <v>2722</v>
      </c>
      <c r="AF87" s="1">
        <v>1454</v>
      </c>
      <c r="AG87" s="1">
        <v>1806</v>
      </c>
      <c r="AH87" s="1">
        <v>2918</v>
      </c>
      <c r="AI87" s="1">
        <v>2968</v>
      </c>
      <c r="AJ87" s="1">
        <v>3627</v>
      </c>
      <c r="AK87" s="1">
        <v>2992</v>
      </c>
      <c r="AL87" s="1">
        <v>2141</v>
      </c>
      <c r="AM87" s="1">
        <v>1734</v>
      </c>
      <c r="AN87" s="1">
        <v>1994</v>
      </c>
      <c r="AO87" s="3">
        <v>27114</v>
      </c>
      <c r="AP87" s="1">
        <v>1784</v>
      </c>
      <c r="AQ87" s="1">
        <v>1942</v>
      </c>
      <c r="AR87" s="1">
        <v>3057</v>
      </c>
      <c r="AS87" s="1">
        <v>2027</v>
      </c>
      <c r="AT87" s="1">
        <v>2242</v>
      </c>
      <c r="AU87" s="1">
        <v>3306</v>
      </c>
      <c r="AV87" s="1">
        <v>3757</v>
      </c>
      <c r="AW87" s="1">
        <v>4083</v>
      </c>
      <c r="AX87" s="1">
        <v>3333</v>
      </c>
      <c r="AY87" s="1">
        <v>2301</v>
      </c>
      <c r="AZ87" s="1">
        <v>2074</v>
      </c>
      <c r="BA87" s="1">
        <v>2214</v>
      </c>
      <c r="BB87" s="3">
        <v>32120</v>
      </c>
      <c r="BC87" s="1">
        <v>1782</v>
      </c>
      <c r="BD87" s="1">
        <v>1718</v>
      </c>
      <c r="BE87" s="1">
        <v>2995</v>
      </c>
      <c r="BF87" s="1">
        <v>2421</v>
      </c>
      <c r="BG87" s="1">
        <v>2944</v>
      </c>
      <c r="BH87" s="1">
        <v>3667</v>
      </c>
      <c r="BI87" s="1">
        <v>3746</v>
      </c>
      <c r="BJ87" s="1">
        <v>4544</v>
      </c>
      <c r="BK87" s="1">
        <v>3918</v>
      </c>
      <c r="BL87" s="1">
        <v>3289</v>
      </c>
      <c r="BM87" s="1">
        <v>2952</v>
      </c>
      <c r="BN87" s="1">
        <v>2591</v>
      </c>
      <c r="BO87" s="3">
        <v>36567</v>
      </c>
      <c r="BP87" s="3">
        <f t="shared" si="2"/>
        <v>110254</v>
      </c>
    </row>
    <row r="88" spans="1:68" x14ac:dyDescent="0.2">
      <c r="A88" s="3">
        <v>42</v>
      </c>
      <c r="B88" t="s">
        <v>95</v>
      </c>
      <c r="C88" s="1">
        <v>4</v>
      </c>
      <c r="D88" s="1">
        <v>13</v>
      </c>
      <c r="E88" s="1">
        <v>19</v>
      </c>
      <c r="F88" s="1">
        <v>38</v>
      </c>
      <c r="G88" s="1">
        <v>30</v>
      </c>
      <c r="H88" s="1">
        <v>27</v>
      </c>
      <c r="I88" s="1">
        <v>13</v>
      </c>
      <c r="J88" s="1">
        <v>12</v>
      </c>
      <c r="K88" s="1">
        <v>11</v>
      </c>
      <c r="L88" s="1">
        <v>36</v>
      </c>
      <c r="M88" s="1">
        <v>65</v>
      </c>
      <c r="N88" s="1">
        <v>32</v>
      </c>
      <c r="O88" s="3">
        <v>300</v>
      </c>
      <c r="P88" s="1">
        <v>51</v>
      </c>
      <c r="Q88" s="1">
        <v>42</v>
      </c>
      <c r="R88" s="1">
        <v>113</v>
      </c>
      <c r="S88" s="1">
        <v>134</v>
      </c>
      <c r="T88" s="1">
        <v>145</v>
      </c>
      <c r="U88" s="1">
        <v>339</v>
      </c>
      <c r="V88" s="1">
        <v>355</v>
      </c>
      <c r="W88" s="1">
        <v>337</v>
      </c>
      <c r="X88" s="1">
        <v>613</v>
      </c>
      <c r="Y88" s="1">
        <v>339</v>
      </c>
      <c r="Z88" s="1">
        <v>277</v>
      </c>
      <c r="AA88" s="1">
        <v>328</v>
      </c>
      <c r="AB88" s="3">
        <v>3073</v>
      </c>
      <c r="AC88" s="1">
        <v>234</v>
      </c>
      <c r="AD88" s="1">
        <v>300</v>
      </c>
      <c r="AE88" s="1">
        <v>1683</v>
      </c>
      <c r="AF88" s="1">
        <v>452</v>
      </c>
      <c r="AG88" s="1">
        <v>439</v>
      </c>
      <c r="AH88" s="1">
        <v>550</v>
      </c>
      <c r="AI88" s="1">
        <v>395</v>
      </c>
      <c r="AJ88" s="1">
        <v>518</v>
      </c>
      <c r="AK88" s="1">
        <v>1079</v>
      </c>
      <c r="AL88" s="1">
        <v>511</v>
      </c>
      <c r="AM88" s="1">
        <v>438</v>
      </c>
      <c r="AN88" s="1">
        <v>578</v>
      </c>
      <c r="AO88" s="3">
        <v>7177</v>
      </c>
      <c r="AP88" s="1">
        <v>367</v>
      </c>
      <c r="AQ88" s="1">
        <v>615</v>
      </c>
      <c r="AR88" s="1">
        <v>2265</v>
      </c>
      <c r="AS88" s="1">
        <v>360</v>
      </c>
      <c r="AT88" s="1">
        <v>611</v>
      </c>
      <c r="AU88" s="1">
        <v>570</v>
      </c>
      <c r="AV88" s="1">
        <v>674</v>
      </c>
      <c r="AW88" s="1">
        <v>985</v>
      </c>
      <c r="AX88" s="1">
        <v>1106</v>
      </c>
      <c r="AY88" s="1">
        <v>577</v>
      </c>
      <c r="AZ88" s="1">
        <v>551</v>
      </c>
      <c r="BA88" s="1">
        <v>545</v>
      </c>
      <c r="BB88" s="3">
        <v>9226</v>
      </c>
      <c r="BC88" s="1">
        <v>353</v>
      </c>
      <c r="BD88" s="1">
        <v>396</v>
      </c>
      <c r="BE88" s="1">
        <v>1955</v>
      </c>
      <c r="BF88" s="1">
        <v>547</v>
      </c>
      <c r="BG88" s="1">
        <v>855</v>
      </c>
      <c r="BH88" s="1">
        <v>597</v>
      </c>
      <c r="BI88" s="1">
        <v>429</v>
      </c>
      <c r="BJ88" s="1">
        <v>809</v>
      </c>
      <c r="BK88" s="1">
        <v>1104</v>
      </c>
      <c r="BL88" s="1">
        <v>825</v>
      </c>
      <c r="BM88" s="1">
        <v>770</v>
      </c>
      <c r="BN88" s="1">
        <v>798</v>
      </c>
      <c r="BO88" s="3">
        <v>9438</v>
      </c>
      <c r="BP88" s="3">
        <f t="shared" si="2"/>
        <v>29214</v>
      </c>
    </row>
    <row r="89" spans="1:68" x14ac:dyDescent="0.2">
      <c r="A89" s="3">
        <v>43</v>
      </c>
      <c r="B89" t="s">
        <v>96</v>
      </c>
      <c r="C89" s="1">
        <v>1</v>
      </c>
      <c r="D89" s="1">
        <v>6</v>
      </c>
      <c r="E89" s="1">
        <v>0</v>
      </c>
      <c r="F89" s="1">
        <v>4</v>
      </c>
      <c r="G89" s="1">
        <v>7</v>
      </c>
      <c r="H89" s="1">
        <v>4</v>
      </c>
      <c r="I89" s="1">
        <v>5</v>
      </c>
      <c r="J89" s="1">
        <v>2</v>
      </c>
      <c r="K89" s="1">
        <v>3</v>
      </c>
      <c r="L89" s="1">
        <v>10</v>
      </c>
      <c r="M89" s="1">
        <v>12</v>
      </c>
      <c r="N89" s="1">
        <v>21</v>
      </c>
      <c r="O89" s="3">
        <v>75</v>
      </c>
      <c r="P89" s="1">
        <v>17</v>
      </c>
      <c r="Q89" s="1">
        <v>11</v>
      </c>
      <c r="R89" s="1">
        <v>54</v>
      </c>
      <c r="S89" s="1">
        <v>28</v>
      </c>
      <c r="T89" s="1">
        <v>109</v>
      </c>
      <c r="U89" s="1">
        <v>274</v>
      </c>
      <c r="V89" s="1">
        <v>419</v>
      </c>
      <c r="W89" s="1">
        <v>528</v>
      </c>
      <c r="X89" s="1">
        <v>262</v>
      </c>
      <c r="Y89" s="1">
        <v>191</v>
      </c>
      <c r="Z89" s="1">
        <v>178</v>
      </c>
      <c r="AA89" s="1">
        <v>145</v>
      </c>
      <c r="AB89" s="3">
        <v>2216</v>
      </c>
      <c r="AC89" s="1">
        <v>392</v>
      </c>
      <c r="AD89" s="1">
        <v>251</v>
      </c>
      <c r="AE89" s="1">
        <v>155</v>
      </c>
      <c r="AF89" s="1">
        <v>194</v>
      </c>
      <c r="AG89" s="1">
        <v>313</v>
      </c>
      <c r="AH89" s="1">
        <v>521</v>
      </c>
      <c r="AI89" s="1">
        <v>596</v>
      </c>
      <c r="AJ89" s="1">
        <v>1077</v>
      </c>
      <c r="AK89" s="1">
        <v>429</v>
      </c>
      <c r="AL89" s="1">
        <v>298</v>
      </c>
      <c r="AM89" s="1">
        <v>220</v>
      </c>
      <c r="AN89" s="1">
        <v>246</v>
      </c>
      <c r="AO89" s="3">
        <v>4692</v>
      </c>
      <c r="AP89" s="1">
        <v>391</v>
      </c>
      <c r="AQ89" s="1">
        <v>292</v>
      </c>
      <c r="AR89" s="1">
        <v>68</v>
      </c>
      <c r="AS89" s="1">
        <v>299</v>
      </c>
      <c r="AT89" s="1">
        <v>341</v>
      </c>
      <c r="AU89" s="1">
        <v>660</v>
      </c>
      <c r="AV89" s="1">
        <v>771</v>
      </c>
      <c r="AW89" s="1">
        <v>1118</v>
      </c>
      <c r="AX89" s="1">
        <v>383</v>
      </c>
      <c r="AY89" s="1">
        <v>251</v>
      </c>
      <c r="AZ89" s="1">
        <v>194</v>
      </c>
      <c r="BA89" s="1">
        <v>322</v>
      </c>
      <c r="BB89" s="3">
        <v>5090</v>
      </c>
      <c r="BC89" s="1">
        <v>293</v>
      </c>
      <c r="BD89" s="1">
        <v>230</v>
      </c>
      <c r="BE89" s="1">
        <v>84</v>
      </c>
      <c r="BF89" s="1">
        <v>266</v>
      </c>
      <c r="BG89" s="1">
        <v>343</v>
      </c>
      <c r="BH89" s="1">
        <v>581</v>
      </c>
      <c r="BI89" s="1">
        <v>843</v>
      </c>
      <c r="BJ89" s="1">
        <v>1226</v>
      </c>
      <c r="BK89" s="1">
        <v>421</v>
      </c>
      <c r="BL89" s="1">
        <v>343</v>
      </c>
      <c r="BM89" s="1">
        <v>246</v>
      </c>
      <c r="BN89" s="1">
        <v>290</v>
      </c>
      <c r="BO89" s="3">
        <v>5166</v>
      </c>
      <c r="BP89" s="3">
        <f t="shared" si="2"/>
        <v>17239</v>
      </c>
    </row>
    <row r="90" spans="1:68" x14ac:dyDescent="0.2">
      <c r="A90" s="3">
        <v>44</v>
      </c>
      <c r="B90" t="s">
        <v>97</v>
      </c>
      <c r="C90" s="1">
        <v>1</v>
      </c>
      <c r="D90" s="1">
        <v>0</v>
      </c>
      <c r="E90" s="1">
        <v>4</v>
      </c>
      <c r="F90" s="1">
        <v>21</v>
      </c>
      <c r="G90" s="1">
        <v>14</v>
      </c>
      <c r="H90" s="1">
        <v>10</v>
      </c>
      <c r="I90" s="1">
        <v>5</v>
      </c>
      <c r="J90" s="1">
        <v>3</v>
      </c>
      <c r="K90" s="1">
        <v>4</v>
      </c>
      <c r="L90" s="1">
        <v>23</v>
      </c>
      <c r="M90" s="1">
        <v>20</v>
      </c>
      <c r="N90" s="1">
        <v>22</v>
      </c>
      <c r="O90" s="3">
        <v>127</v>
      </c>
      <c r="P90" s="1">
        <v>11</v>
      </c>
      <c r="Q90" s="1">
        <v>7</v>
      </c>
      <c r="R90" s="1">
        <v>12</v>
      </c>
      <c r="S90" s="1">
        <v>29</v>
      </c>
      <c r="T90" s="1">
        <v>123</v>
      </c>
      <c r="U90" s="1">
        <v>84</v>
      </c>
      <c r="V90" s="1">
        <v>90</v>
      </c>
      <c r="W90" s="1">
        <v>178</v>
      </c>
      <c r="X90" s="1">
        <v>143</v>
      </c>
      <c r="Y90" s="1">
        <v>180</v>
      </c>
      <c r="Z90" s="1">
        <v>172</v>
      </c>
      <c r="AA90" s="1">
        <v>151</v>
      </c>
      <c r="AB90" s="3">
        <v>1180</v>
      </c>
      <c r="AC90" s="1">
        <v>174</v>
      </c>
      <c r="AD90" s="1">
        <v>185</v>
      </c>
      <c r="AE90" s="1">
        <v>121</v>
      </c>
      <c r="AF90" s="1">
        <v>112</v>
      </c>
      <c r="AG90" s="1">
        <v>179</v>
      </c>
      <c r="AH90" s="1">
        <v>245</v>
      </c>
      <c r="AI90" s="1">
        <v>305</v>
      </c>
      <c r="AJ90" s="1">
        <v>281</v>
      </c>
      <c r="AK90" s="1">
        <v>293</v>
      </c>
      <c r="AL90" s="1">
        <v>366</v>
      </c>
      <c r="AM90" s="1">
        <v>267</v>
      </c>
      <c r="AN90" s="1">
        <v>292</v>
      </c>
      <c r="AO90" s="3">
        <v>2820</v>
      </c>
      <c r="AP90" s="1">
        <v>283</v>
      </c>
      <c r="AQ90" s="1">
        <v>328</v>
      </c>
      <c r="AR90" s="1">
        <v>194</v>
      </c>
      <c r="AS90" s="1">
        <v>293</v>
      </c>
      <c r="AT90" s="1">
        <v>299</v>
      </c>
      <c r="AU90" s="1">
        <v>572</v>
      </c>
      <c r="AV90" s="1">
        <v>472</v>
      </c>
      <c r="AW90" s="1">
        <v>582</v>
      </c>
      <c r="AX90" s="1">
        <v>583</v>
      </c>
      <c r="AY90" s="1">
        <v>416</v>
      </c>
      <c r="AZ90" s="1">
        <v>513</v>
      </c>
      <c r="BA90" s="1">
        <v>421</v>
      </c>
      <c r="BB90" s="3">
        <v>4956</v>
      </c>
      <c r="BC90" s="1">
        <v>400</v>
      </c>
      <c r="BD90" s="1">
        <v>433</v>
      </c>
      <c r="BE90" s="1">
        <v>189</v>
      </c>
      <c r="BF90" s="1">
        <v>445</v>
      </c>
      <c r="BG90" s="1">
        <v>417</v>
      </c>
      <c r="BH90" s="1">
        <v>573</v>
      </c>
      <c r="BI90" s="1">
        <v>409</v>
      </c>
      <c r="BJ90" s="1">
        <v>544</v>
      </c>
      <c r="BK90" s="1">
        <v>693</v>
      </c>
      <c r="BL90" s="1">
        <v>577</v>
      </c>
      <c r="BM90" s="1">
        <v>586</v>
      </c>
      <c r="BN90" s="1">
        <v>413</v>
      </c>
      <c r="BO90" s="3">
        <v>5679</v>
      </c>
      <c r="BP90" s="3">
        <f t="shared" si="2"/>
        <v>14762</v>
      </c>
    </row>
    <row r="91" spans="1:68" x14ac:dyDescent="0.2">
      <c r="A91" s="3">
        <v>45</v>
      </c>
      <c r="B91" t="s">
        <v>98</v>
      </c>
      <c r="C91" s="1">
        <v>1</v>
      </c>
      <c r="D91" s="1">
        <v>8</v>
      </c>
      <c r="E91" s="1">
        <v>8</v>
      </c>
      <c r="F91" s="1">
        <v>15</v>
      </c>
      <c r="G91" s="1">
        <v>32</v>
      </c>
      <c r="H91" s="1">
        <v>37</v>
      </c>
      <c r="I91" s="1">
        <v>4</v>
      </c>
      <c r="J91" s="1">
        <v>6</v>
      </c>
      <c r="K91" s="1">
        <v>11</v>
      </c>
      <c r="L91" s="1">
        <v>11</v>
      </c>
      <c r="M91" s="1">
        <v>13</v>
      </c>
      <c r="N91" s="1">
        <v>36</v>
      </c>
      <c r="O91" s="3">
        <v>182</v>
      </c>
      <c r="P91" s="1">
        <v>14</v>
      </c>
      <c r="Q91" s="1">
        <v>35</v>
      </c>
      <c r="R91" s="1">
        <v>33</v>
      </c>
      <c r="S91" s="1">
        <v>16</v>
      </c>
      <c r="T91" s="1">
        <v>53</v>
      </c>
      <c r="U91" s="1">
        <v>66</v>
      </c>
      <c r="V91" s="1">
        <v>96</v>
      </c>
      <c r="W91" s="1">
        <v>136</v>
      </c>
      <c r="X91" s="1">
        <v>104</v>
      </c>
      <c r="Y91" s="1">
        <v>117</v>
      </c>
      <c r="Z91" s="1">
        <v>170</v>
      </c>
      <c r="AA91" s="1">
        <v>149</v>
      </c>
      <c r="AB91" s="3">
        <v>989</v>
      </c>
      <c r="AC91" s="1">
        <v>117</v>
      </c>
      <c r="AD91" s="1">
        <v>130</v>
      </c>
      <c r="AE91" s="1">
        <v>125</v>
      </c>
      <c r="AF91" s="1">
        <v>111</v>
      </c>
      <c r="AG91" s="1">
        <v>130</v>
      </c>
      <c r="AH91" s="1">
        <v>170</v>
      </c>
      <c r="AI91" s="1">
        <v>183</v>
      </c>
      <c r="AJ91" s="1">
        <v>234</v>
      </c>
      <c r="AK91" s="1">
        <v>183</v>
      </c>
      <c r="AL91" s="1">
        <v>141</v>
      </c>
      <c r="AM91" s="1">
        <v>165</v>
      </c>
      <c r="AN91" s="1">
        <v>159</v>
      </c>
      <c r="AO91" s="3">
        <v>1848</v>
      </c>
      <c r="AP91" s="1">
        <v>136</v>
      </c>
      <c r="AQ91" s="1">
        <v>145</v>
      </c>
      <c r="AR91" s="1">
        <v>100</v>
      </c>
      <c r="AS91" s="1">
        <v>147</v>
      </c>
      <c r="AT91" s="1">
        <v>172</v>
      </c>
      <c r="AU91" s="1">
        <v>242</v>
      </c>
      <c r="AV91" s="1">
        <v>342</v>
      </c>
      <c r="AW91" s="1">
        <v>252</v>
      </c>
      <c r="AX91" s="1">
        <v>196</v>
      </c>
      <c r="AY91" s="1">
        <v>235</v>
      </c>
      <c r="AZ91" s="1">
        <v>176</v>
      </c>
      <c r="BA91" s="1">
        <v>204</v>
      </c>
      <c r="BB91" s="3">
        <v>2347</v>
      </c>
      <c r="BC91" s="1">
        <v>174</v>
      </c>
      <c r="BD91" s="1">
        <v>117</v>
      </c>
      <c r="BE91" s="1">
        <v>181</v>
      </c>
      <c r="BF91" s="1">
        <v>257</v>
      </c>
      <c r="BG91" s="1">
        <v>332</v>
      </c>
      <c r="BH91" s="1">
        <v>468</v>
      </c>
      <c r="BI91" s="1">
        <v>439</v>
      </c>
      <c r="BJ91" s="1">
        <v>431</v>
      </c>
      <c r="BK91" s="1">
        <v>389</v>
      </c>
      <c r="BL91" s="1">
        <v>406</v>
      </c>
      <c r="BM91" s="1">
        <v>367</v>
      </c>
      <c r="BN91" s="1">
        <v>307</v>
      </c>
      <c r="BO91" s="3">
        <v>3868</v>
      </c>
      <c r="BP91" s="3">
        <f t="shared" si="2"/>
        <v>9234</v>
      </c>
    </row>
    <row r="92" spans="1:68" x14ac:dyDescent="0.2">
      <c r="A92" s="3">
        <v>46</v>
      </c>
      <c r="B92" t="s">
        <v>99</v>
      </c>
      <c r="C92" s="1">
        <v>0</v>
      </c>
      <c r="D92" s="1">
        <v>3</v>
      </c>
      <c r="E92" s="1">
        <v>6</v>
      </c>
      <c r="F92" s="1">
        <v>30</v>
      </c>
      <c r="G92" s="1">
        <v>12</v>
      </c>
      <c r="H92" s="1">
        <v>9</v>
      </c>
      <c r="I92" s="1">
        <v>0</v>
      </c>
      <c r="J92" s="1">
        <v>2</v>
      </c>
      <c r="K92" s="1">
        <v>6</v>
      </c>
      <c r="L92" s="1">
        <v>32</v>
      </c>
      <c r="M92" s="1">
        <v>27</v>
      </c>
      <c r="N92" s="1">
        <v>18</v>
      </c>
      <c r="O92" s="3">
        <v>145</v>
      </c>
      <c r="P92" s="1">
        <v>9</v>
      </c>
      <c r="Q92" s="1">
        <v>17</v>
      </c>
      <c r="R92" s="1">
        <v>77</v>
      </c>
      <c r="S92" s="1">
        <v>57</v>
      </c>
      <c r="T92" s="1">
        <v>32</v>
      </c>
      <c r="U92" s="1">
        <v>67</v>
      </c>
      <c r="V92" s="1">
        <v>63</v>
      </c>
      <c r="W92" s="1">
        <v>51</v>
      </c>
      <c r="X92" s="1">
        <v>101</v>
      </c>
      <c r="Y92" s="1">
        <v>99</v>
      </c>
      <c r="Z92" s="1">
        <v>113</v>
      </c>
      <c r="AA92" s="1">
        <v>146</v>
      </c>
      <c r="AB92" s="3">
        <v>832</v>
      </c>
      <c r="AC92" s="1">
        <v>121</v>
      </c>
      <c r="AD92" s="1">
        <v>73</v>
      </c>
      <c r="AE92" s="1">
        <v>189</v>
      </c>
      <c r="AF92" s="1">
        <v>101</v>
      </c>
      <c r="AG92" s="1">
        <v>147</v>
      </c>
      <c r="AH92" s="1">
        <v>217</v>
      </c>
      <c r="AI92" s="1">
        <v>241</v>
      </c>
      <c r="AJ92" s="1">
        <v>226</v>
      </c>
      <c r="AK92" s="1">
        <v>241</v>
      </c>
      <c r="AL92" s="1">
        <v>145</v>
      </c>
      <c r="AM92" s="1">
        <v>136</v>
      </c>
      <c r="AN92" s="1">
        <v>130</v>
      </c>
      <c r="AO92" s="3">
        <v>1967</v>
      </c>
      <c r="AP92" s="1">
        <v>134</v>
      </c>
      <c r="AQ92" s="1">
        <v>141</v>
      </c>
      <c r="AR92" s="1">
        <v>125</v>
      </c>
      <c r="AS92" s="1">
        <v>163</v>
      </c>
      <c r="AT92" s="1">
        <v>190</v>
      </c>
      <c r="AU92" s="1">
        <v>226</v>
      </c>
      <c r="AV92" s="1">
        <v>316</v>
      </c>
      <c r="AW92" s="1">
        <v>274</v>
      </c>
      <c r="AX92" s="1">
        <v>259</v>
      </c>
      <c r="AY92" s="1">
        <v>212</v>
      </c>
      <c r="AZ92" s="1">
        <v>199</v>
      </c>
      <c r="BA92" s="1">
        <v>197</v>
      </c>
      <c r="BB92" s="3">
        <v>2436</v>
      </c>
      <c r="BC92" s="1">
        <v>186</v>
      </c>
      <c r="BD92" s="1">
        <v>160</v>
      </c>
      <c r="BE92" s="1">
        <v>97</v>
      </c>
      <c r="BF92" s="1">
        <v>232</v>
      </c>
      <c r="BG92" s="1">
        <v>255</v>
      </c>
      <c r="BH92" s="1">
        <v>322</v>
      </c>
      <c r="BI92" s="1">
        <v>339</v>
      </c>
      <c r="BJ92" s="1">
        <v>369</v>
      </c>
      <c r="BK92" s="1">
        <v>385</v>
      </c>
      <c r="BL92" s="1">
        <v>284</v>
      </c>
      <c r="BM92" s="1">
        <v>341</v>
      </c>
      <c r="BN92" s="1">
        <v>235</v>
      </c>
      <c r="BO92" s="3">
        <v>3205</v>
      </c>
      <c r="BP92" s="3">
        <f t="shared" si="2"/>
        <v>8585</v>
      </c>
    </row>
    <row r="93" spans="1:68" x14ac:dyDescent="0.2">
      <c r="A93" s="3">
        <v>47</v>
      </c>
      <c r="B93" t="s">
        <v>100</v>
      </c>
      <c r="C93" s="1">
        <v>0</v>
      </c>
      <c r="D93" s="1">
        <v>8</v>
      </c>
      <c r="E93" s="1">
        <v>4</v>
      </c>
      <c r="F93" s="1">
        <v>20</v>
      </c>
      <c r="G93" s="1">
        <v>29</v>
      </c>
      <c r="H93" s="1">
        <v>29</v>
      </c>
      <c r="I93" s="1">
        <v>6</v>
      </c>
      <c r="J93" s="1">
        <v>3</v>
      </c>
      <c r="K93" s="1">
        <v>7</v>
      </c>
      <c r="L93" s="1">
        <v>20</v>
      </c>
      <c r="M93" s="1">
        <v>23</v>
      </c>
      <c r="N93" s="1">
        <v>16</v>
      </c>
      <c r="O93" s="3">
        <v>165</v>
      </c>
      <c r="P93" s="1">
        <v>10</v>
      </c>
      <c r="Q93" s="1">
        <v>11</v>
      </c>
      <c r="R93" s="1">
        <v>50</v>
      </c>
      <c r="S93" s="1">
        <v>69</v>
      </c>
      <c r="T93" s="1">
        <v>123</v>
      </c>
      <c r="U93" s="1">
        <v>113</v>
      </c>
      <c r="V93" s="1">
        <v>338</v>
      </c>
      <c r="W93" s="1">
        <v>211</v>
      </c>
      <c r="X93" s="1">
        <v>261</v>
      </c>
      <c r="Y93" s="1">
        <v>207</v>
      </c>
      <c r="Z93" s="1">
        <v>158</v>
      </c>
      <c r="AA93" s="1">
        <v>226</v>
      </c>
      <c r="AB93" s="3">
        <v>1777</v>
      </c>
      <c r="AC93" s="1">
        <v>129</v>
      </c>
      <c r="AD93" s="1">
        <v>135</v>
      </c>
      <c r="AE93" s="1">
        <v>164</v>
      </c>
      <c r="AF93" s="1">
        <v>234</v>
      </c>
      <c r="AG93" s="1">
        <v>230</v>
      </c>
      <c r="AH93" s="1">
        <v>442</v>
      </c>
      <c r="AI93" s="1">
        <v>512</v>
      </c>
      <c r="AJ93" s="1">
        <v>477</v>
      </c>
      <c r="AK93" s="1">
        <v>308</v>
      </c>
      <c r="AL93" s="1">
        <v>281</v>
      </c>
      <c r="AM93" s="1">
        <v>208</v>
      </c>
      <c r="AN93" s="1">
        <v>305</v>
      </c>
      <c r="AO93" s="3">
        <v>3425</v>
      </c>
      <c r="AP93" s="1">
        <v>183</v>
      </c>
      <c r="AQ93" s="1">
        <v>192</v>
      </c>
      <c r="AR93" s="1">
        <v>206</v>
      </c>
      <c r="AS93" s="1">
        <v>488</v>
      </c>
      <c r="AT93" s="1">
        <v>321</v>
      </c>
      <c r="AU93" s="1">
        <v>459</v>
      </c>
      <c r="AV93" s="1">
        <v>537</v>
      </c>
      <c r="AW93" s="1">
        <v>441</v>
      </c>
      <c r="AX93" s="1">
        <v>426</v>
      </c>
      <c r="AY93" s="1">
        <v>246</v>
      </c>
      <c r="AZ93" s="1">
        <v>239</v>
      </c>
      <c r="BA93" s="1">
        <v>279</v>
      </c>
      <c r="BB93" s="3">
        <v>4017</v>
      </c>
      <c r="BC93" s="1">
        <v>169</v>
      </c>
      <c r="BD93" s="1">
        <v>201</v>
      </c>
      <c r="BE93" s="1">
        <v>317</v>
      </c>
      <c r="BF93" s="1">
        <v>319</v>
      </c>
      <c r="BG93" s="1">
        <v>376</v>
      </c>
      <c r="BH93" s="1">
        <v>533</v>
      </c>
      <c r="BI93" s="1">
        <v>612</v>
      </c>
      <c r="BJ93" s="1">
        <v>549</v>
      </c>
      <c r="BK93" s="1">
        <v>556</v>
      </c>
      <c r="BL93" s="1">
        <v>375</v>
      </c>
      <c r="BM93" s="1">
        <v>296</v>
      </c>
      <c r="BN93" s="1">
        <v>274</v>
      </c>
      <c r="BO93" s="3">
        <v>4577</v>
      </c>
      <c r="BP93" s="3">
        <f t="shared" si="2"/>
        <v>13961</v>
      </c>
    </row>
    <row r="94" spans="1:68" x14ac:dyDescent="0.2">
      <c r="A94" s="3">
        <v>48</v>
      </c>
      <c r="B94" t="s">
        <v>101</v>
      </c>
      <c r="C94" s="1">
        <v>2</v>
      </c>
      <c r="D94" s="1">
        <v>5</v>
      </c>
      <c r="E94" s="1">
        <v>2</v>
      </c>
      <c r="F94" s="1">
        <v>1</v>
      </c>
      <c r="G94" s="1">
        <v>1</v>
      </c>
      <c r="H94" s="1">
        <v>4</v>
      </c>
      <c r="I94" s="1">
        <v>4</v>
      </c>
      <c r="J94" s="1">
        <v>2</v>
      </c>
      <c r="K94" s="1">
        <v>2</v>
      </c>
      <c r="L94" s="1">
        <v>3</v>
      </c>
      <c r="M94" s="1">
        <v>5</v>
      </c>
      <c r="N94" s="1">
        <v>4</v>
      </c>
      <c r="O94" s="3">
        <v>35</v>
      </c>
      <c r="P94" s="1">
        <v>0</v>
      </c>
      <c r="Q94" s="1">
        <v>4</v>
      </c>
      <c r="R94" s="1">
        <v>27</v>
      </c>
      <c r="S94" s="1">
        <v>12</v>
      </c>
      <c r="T94" s="1">
        <v>31</v>
      </c>
      <c r="U94" s="1">
        <v>112</v>
      </c>
      <c r="V94" s="1">
        <v>166</v>
      </c>
      <c r="W94" s="1">
        <v>153</v>
      </c>
      <c r="X94" s="1">
        <v>95</v>
      </c>
      <c r="Y94" s="1">
        <v>90</v>
      </c>
      <c r="Z94" s="1">
        <v>119</v>
      </c>
      <c r="AA94" s="1">
        <v>85</v>
      </c>
      <c r="AB94" s="3">
        <v>894</v>
      </c>
      <c r="AC94" s="1">
        <v>68</v>
      </c>
      <c r="AD94" s="1">
        <v>97</v>
      </c>
      <c r="AE94" s="1">
        <v>79</v>
      </c>
      <c r="AF94" s="1">
        <v>83</v>
      </c>
      <c r="AG94" s="1">
        <v>167</v>
      </c>
      <c r="AH94" s="1">
        <v>200</v>
      </c>
      <c r="AI94" s="1">
        <v>199</v>
      </c>
      <c r="AJ94" s="1">
        <v>283</v>
      </c>
      <c r="AK94" s="1">
        <v>147</v>
      </c>
      <c r="AL94" s="1">
        <v>178</v>
      </c>
      <c r="AM94" s="1">
        <v>179</v>
      </c>
      <c r="AN94" s="1">
        <v>145</v>
      </c>
      <c r="AO94" s="3">
        <v>1825</v>
      </c>
      <c r="AP94" s="1">
        <v>167</v>
      </c>
      <c r="AQ94" s="1">
        <v>131</v>
      </c>
      <c r="AR94" s="1">
        <v>29</v>
      </c>
      <c r="AS94" s="1">
        <v>161</v>
      </c>
      <c r="AT94" s="1">
        <v>165</v>
      </c>
      <c r="AU94" s="1">
        <v>243</v>
      </c>
      <c r="AV94" s="1">
        <v>263</v>
      </c>
      <c r="AW94" s="1">
        <v>231</v>
      </c>
      <c r="AX94" s="1">
        <v>215</v>
      </c>
      <c r="AY94" s="1">
        <v>235</v>
      </c>
      <c r="AZ94" s="1">
        <v>128</v>
      </c>
      <c r="BA94" s="1">
        <v>139</v>
      </c>
      <c r="BB94" s="3">
        <v>2107</v>
      </c>
      <c r="BC94" s="1">
        <v>120</v>
      </c>
      <c r="BD94" s="1">
        <v>96</v>
      </c>
      <c r="BE94" s="1">
        <v>73</v>
      </c>
      <c r="BF94" s="1">
        <v>194</v>
      </c>
      <c r="BG94" s="1">
        <v>218</v>
      </c>
      <c r="BH94" s="1">
        <v>297</v>
      </c>
      <c r="BI94" s="1">
        <v>276</v>
      </c>
      <c r="BJ94" s="1">
        <v>273</v>
      </c>
      <c r="BK94" s="1">
        <v>173</v>
      </c>
      <c r="BL94" s="1">
        <v>277</v>
      </c>
      <c r="BM94" s="1">
        <v>212</v>
      </c>
      <c r="BN94" s="1">
        <v>145</v>
      </c>
      <c r="BO94" s="3">
        <v>2354</v>
      </c>
      <c r="BP94" s="3">
        <f t="shared" si="2"/>
        <v>7215</v>
      </c>
    </row>
    <row r="95" spans="1:68" x14ac:dyDescent="0.2">
      <c r="A95" s="3">
        <v>49</v>
      </c>
      <c r="B95" t="s">
        <v>102</v>
      </c>
      <c r="C95" s="1">
        <v>2</v>
      </c>
      <c r="D95" s="1">
        <v>2</v>
      </c>
      <c r="E95" s="1">
        <v>4</v>
      </c>
      <c r="F95" s="1">
        <v>2</v>
      </c>
      <c r="G95" s="1">
        <v>6</v>
      </c>
      <c r="H95" s="1">
        <v>8</v>
      </c>
      <c r="I95" s="1">
        <v>2</v>
      </c>
      <c r="J95" s="1">
        <v>0</v>
      </c>
      <c r="K95" s="1">
        <v>0</v>
      </c>
      <c r="L95" s="1">
        <v>5</v>
      </c>
      <c r="M95" s="1">
        <v>6</v>
      </c>
      <c r="N95" s="1">
        <v>6</v>
      </c>
      <c r="O95" s="3">
        <v>43</v>
      </c>
      <c r="P95" s="1">
        <v>5</v>
      </c>
      <c r="Q95" s="1">
        <v>7</v>
      </c>
      <c r="R95" s="1">
        <v>25</v>
      </c>
      <c r="S95" s="1">
        <v>6</v>
      </c>
      <c r="T95" s="1">
        <v>84</v>
      </c>
      <c r="U95" s="1">
        <v>123</v>
      </c>
      <c r="V95" s="1">
        <v>263</v>
      </c>
      <c r="W95" s="1">
        <v>81</v>
      </c>
      <c r="X95" s="1">
        <v>57</v>
      </c>
      <c r="Y95" s="1">
        <v>45</v>
      </c>
      <c r="Z95" s="1">
        <v>71</v>
      </c>
      <c r="AA95" s="1">
        <v>73</v>
      </c>
      <c r="AB95" s="3">
        <v>840</v>
      </c>
      <c r="AC95" s="1">
        <v>95</v>
      </c>
      <c r="AD95" s="1">
        <v>139</v>
      </c>
      <c r="AE95" s="1">
        <v>140</v>
      </c>
      <c r="AF95" s="1">
        <v>121</v>
      </c>
      <c r="AG95" s="1">
        <v>115</v>
      </c>
      <c r="AH95" s="1">
        <v>289</v>
      </c>
      <c r="AI95" s="1">
        <v>358</v>
      </c>
      <c r="AJ95" s="1">
        <v>245</v>
      </c>
      <c r="AK95" s="1">
        <v>113</v>
      </c>
      <c r="AL95" s="1">
        <v>118</v>
      </c>
      <c r="AM95" s="1">
        <v>106</v>
      </c>
      <c r="AN95" s="1">
        <v>122</v>
      </c>
      <c r="AO95" s="3">
        <v>1961</v>
      </c>
      <c r="AP95" s="1">
        <v>92</v>
      </c>
      <c r="AQ95" s="1">
        <v>67</v>
      </c>
      <c r="AR95" s="1">
        <v>47</v>
      </c>
      <c r="AS95" s="1">
        <v>109</v>
      </c>
      <c r="AT95" s="1">
        <v>116</v>
      </c>
      <c r="AU95" s="1">
        <v>278</v>
      </c>
      <c r="AV95" s="1">
        <v>331</v>
      </c>
      <c r="AW95" s="1">
        <v>167</v>
      </c>
      <c r="AX95" s="1">
        <v>127</v>
      </c>
      <c r="AY95" s="1">
        <v>106</v>
      </c>
      <c r="AZ95" s="1">
        <v>59</v>
      </c>
      <c r="BA95" s="1">
        <v>92</v>
      </c>
      <c r="BB95" s="3">
        <v>1591</v>
      </c>
      <c r="BC95" s="1">
        <v>71</v>
      </c>
      <c r="BD95" s="1">
        <v>64</v>
      </c>
      <c r="BE95" s="1">
        <v>82</v>
      </c>
      <c r="BF95" s="1">
        <v>129</v>
      </c>
      <c r="BG95" s="1">
        <v>90</v>
      </c>
      <c r="BH95" s="1">
        <v>272</v>
      </c>
      <c r="BI95" s="1">
        <v>320</v>
      </c>
      <c r="BJ95" s="1">
        <v>281</v>
      </c>
      <c r="BK95" s="1">
        <v>120</v>
      </c>
      <c r="BL95" s="1">
        <v>116</v>
      </c>
      <c r="BM95" s="1">
        <v>93</v>
      </c>
      <c r="BN95" s="1">
        <v>88</v>
      </c>
      <c r="BO95" s="3">
        <v>1726</v>
      </c>
      <c r="BP95" s="3">
        <f t="shared" si="2"/>
        <v>6161</v>
      </c>
    </row>
    <row r="96" spans="1:68" x14ac:dyDescent="0.2">
      <c r="A96" s="3">
        <v>50</v>
      </c>
      <c r="B96" t="s">
        <v>103</v>
      </c>
      <c r="C96" s="1">
        <v>57</v>
      </c>
      <c r="D96" s="1">
        <v>59</v>
      </c>
      <c r="E96" s="1">
        <v>51</v>
      </c>
      <c r="F96" s="1">
        <v>49</v>
      </c>
      <c r="G96" s="1">
        <v>49</v>
      </c>
      <c r="H96" s="1">
        <v>30</v>
      </c>
      <c r="I96" s="1">
        <v>41</v>
      </c>
      <c r="J96" s="1">
        <v>34</v>
      </c>
      <c r="K96" s="1">
        <v>32</v>
      </c>
      <c r="L96" s="1">
        <v>33</v>
      </c>
      <c r="M96" s="1">
        <v>28</v>
      </c>
      <c r="N96" s="1">
        <v>42</v>
      </c>
      <c r="O96" s="3">
        <v>505</v>
      </c>
      <c r="P96" s="1">
        <v>72</v>
      </c>
      <c r="Q96" s="1">
        <v>49</v>
      </c>
      <c r="R96" s="1">
        <v>57</v>
      </c>
      <c r="S96" s="1">
        <v>65</v>
      </c>
      <c r="T96" s="1">
        <v>73</v>
      </c>
      <c r="U96" s="1">
        <v>84</v>
      </c>
      <c r="V96" s="1">
        <v>111</v>
      </c>
      <c r="W96" s="1">
        <v>156</v>
      </c>
      <c r="X96" s="1">
        <v>117</v>
      </c>
      <c r="Y96" s="1">
        <v>164</v>
      </c>
      <c r="Z96" s="1">
        <v>62</v>
      </c>
      <c r="AA96" s="1">
        <v>65</v>
      </c>
      <c r="AB96" s="3">
        <v>1075</v>
      </c>
      <c r="AC96" s="1">
        <v>68</v>
      </c>
      <c r="AD96" s="1">
        <v>50</v>
      </c>
      <c r="AE96" s="1">
        <v>66</v>
      </c>
      <c r="AF96" s="1">
        <v>46</v>
      </c>
      <c r="AG96" s="1">
        <v>86</v>
      </c>
      <c r="AH96" s="1">
        <v>284</v>
      </c>
      <c r="AI96" s="1">
        <v>179</v>
      </c>
      <c r="AJ96" s="1">
        <v>286</v>
      </c>
      <c r="AK96" s="1">
        <v>199</v>
      </c>
      <c r="AL96" s="1">
        <v>103</v>
      </c>
      <c r="AM96" s="1">
        <v>15</v>
      </c>
      <c r="AN96" s="1">
        <v>17</v>
      </c>
      <c r="AO96" s="3">
        <v>1399</v>
      </c>
      <c r="AP96" s="1">
        <v>31</v>
      </c>
      <c r="AQ96" s="1">
        <v>31</v>
      </c>
      <c r="AR96" s="1">
        <v>23</v>
      </c>
      <c r="AS96" s="1">
        <v>7</v>
      </c>
      <c r="AT96" s="1">
        <v>27</v>
      </c>
      <c r="AU96" s="1">
        <v>56</v>
      </c>
      <c r="AV96" s="1">
        <v>51</v>
      </c>
      <c r="AW96" s="1">
        <v>33</v>
      </c>
      <c r="AX96" s="1">
        <v>38</v>
      </c>
      <c r="AY96" s="1">
        <v>23</v>
      </c>
      <c r="AZ96" s="1">
        <v>15</v>
      </c>
      <c r="BA96" s="1">
        <v>15</v>
      </c>
      <c r="BB96" s="3">
        <v>350</v>
      </c>
      <c r="BC96" s="1">
        <v>16</v>
      </c>
      <c r="BD96" s="1">
        <v>21</v>
      </c>
      <c r="BE96" s="1">
        <v>17</v>
      </c>
      <c r="BF96" s="1">
        <v>32</v>
      </c>
      <c r="BG96" s="1">
        <v>58</v>
      </c>
      <c r="BH96" s="1">
        <v>24</v>
      </c>
      <c r="BI96" s="1">
        <v>79</v>
      </c>
      <c r="BJ96" s="1">
        <v>62</v>
      </c>
      <c r="BK96" s="1">
        <v>77</v>
      </c>
      <c r="BL96" s="1">
        <v>86</v>
      </c>
      <c r="BM96" s="1">
        <v>41</v>
      </c>
      <c r="BN96" s="1">
        <v>41</v>
      </c>
      <c r="BO96" s="3">
        <v>554</v>
      </c>
      <c r="BP96" s="3">
        <f t="shared" si="2"/>
        <v>3883</v>
      </c>
    </row>
    <row r="97" spans="1:69" s="2" customFormat="1" x14ac:dyDescent="0.2">
      <c r="A97" s="3" t="s">
        <v>301</v>
      </c>
      <c r="B97" s="2" t="s">
        <v>104</v>
      </c>
      <c r="C97" s="3">
        <v>218</v>
      </c>
      <c r="D97" s="3">
        <v>317</v>
      </c>
      <c r="E97" s="3">
        <v>282</v>
      </c>
      <c r="F97" s="3">
        <v>358</v>
      </c>
      <c r="G97" s="3">
        <v>799</v>
      </c>
      <c r="H97" s="3">
        <v>1093</v>
      </c>
      <c r="I97" s="3">
        <v>390</v>
      </c>
      <c r="J97" s="3">
        <v>243</v>
      </c>
      <c r="K97" s="3">
        <v>287</v>
      </c>
      <c r="L97" s="3">
        <v>497</v>
      </c>
      <c r="M97" s="3">
        <v>603</v>
      </c>
      <c r="N97" s="3">
        <v>552</v>
      </c>
      <c r="O97" s="3">
        <v>5639</v>
      </c>
      <c r="P97" s="3">
        <v>545</v>
      </c>
      <c r="Q97" s="3">
        <v>677</v>
      </c>
      <c r="R97" s="3">
        <v>1246</v>
      </c>
      <c r="S97" s="3">
        <v>994</v>
      </c>
      <c r="T97" s="3">
        <v>2611</v>
      </c>
      <c r="U97" s="3">
        <v>5820</v>
      </c>
      <c r="V97" s="3">
        <v>15390</v>
      </c>
      <c r="W97" s="3">
        <v>11287</v>
      </c>
      <c r="X97" s="3">
        <v>9707</v>
      </c>
      <c r="Y97" s="3">
        <v>9424</v>
      </c>
      <c r="Z97" s="3">
        <v>13312</v>
      </c>
      <c r="AA97" s="3">
        <v>10821</v>
      </c>
      <c r="AB97" s="3">
        <v>81834</v>
      </c>
      <c r="AC97" s="3">
        <v>9899</v>
      </c>
      <c r="AD97" s="3">
        <v>9708</v>
      </c>
      <c r="AE97" s="3">
        <v>9367</v>
      </c>
      <c r="AF97" s="3">
        <v>8195</v>
      </c>
      <c r="AG97" s="3">
        <v>14272</v>
      </c>
      <c r="AH97" s="3">
        <v>20191</v>
      </c>
      <c r="AI97" s="3">
        <v>25587</v>
      </c>
      <c r="AJ97" s="3">
        <v>20338</v>
      </c>
      <c r="AK97" s="3">
        <v>15923</v>
      </c>
      <c r="AL97" s="3">
        <v>14738</v>
      </c>
      <c r="AM97" s="3">
        <v>18501</v>
      </c>
      <c r="AN97" s="3">
        <v>14839</v>
      </c>
      <c r="AO97" s="3">
        <v>181558</v>
      </c>
      <c r="AP97" s="3">
        <v>15272</v>
      </c>
      <c r="AQ97" s="3">
        <v>14081</v>
      </c>
      <c r="AR97" s="3">
        <v>5587</v>
      </c>
      <c r="AS97" s="3">
        <v>14994</v>
      </c>
      <c r="AT97" s="3">
        <v>16738</v>
      </c>
      <c r="AU97" s="3">
        <v>27646</v>
      </c>
      <c r="AV97" s="3">
        <v>33923</v>
      </c>
      <c r="AW97" s="3">
        <v>20432</v>
      </c>
      <c r="AX97" s="3">
        <v>18972</v>
      </c>
      <c r="AY97" s="3">
        <v>17658</v>
      </c>
      <c r="AZ97" s="3">
        <v>23270</v>
      </c>
      <c r="BA97" s="3">
        <v>15855</v>
      </c>
      <c r="BB97" s="3">
        <v>224428</v>
      </c>
      <c r="BC97" s="3">
        <v>15300</v>
      </c>
      <c r="BD97" s="3">
        <v>9005</v>
      </c>
      <c r="BE97" s="3">
        <v>7285</v>
      </c>
      <c r="BF97" s="3">
        <v>18312</v>
      </c>
      <c r="BG97" s="3">
        <v>22662</v>
      </c>
      <c r="BH97" s="3">
        <v>28204</v>
      </c>
      <c r="BI97" s="3">
        <v>38520</v>
      </c>
      <c r="BJ97" s="3">
        <v>29967</v>
      </c>
      <c r="BK97" s="3">
        <v>22239</v>
      </c>
      <c r="BL97" s="3">
        <v>21681</v>
      </c>
      <c r="BM97" s="3">
        <v>26758</v>
      </c>
      <c r="BN97" s="3">
        <v>20165</v>
      </c>
      <c r="BO97" s="3">
        <v>260098</v>
      </c>
      <c r="BP97" s="3"/>
      <c r="BQ97"/>
    </row>
    <row r="98" spans="1:69" x14ac:dyDescent="0.2">
      <c r="A98" s="3">
        <v>51</v>
      </c>
      <c r="B98" t="s">
        <v>105</v>
      </c>
      <c r="C98" s="1">
        <v>108</v>
      </c>
      <c r="D98" s="1">
        <v>261</v>
      </c>
      <c r="E98" s="1">
        <v>265</v>
      </c>
      <c r="F98" s="1">
        <v>507</v>
      </c>
      <c r="G98" s="1">
        <v>537</v>
      </c>
      <c r="H98" s="1">
        <v>545</v>
      </c>
      <c r="I98" s="1">
        <v>282</v>
      </c>
      <c r="J98" s="1">
        <v>167</v>
      </c>
      <c r="K98" s="1">
        <v>273</v>
      </c>
      <c r="L98" s="1">
        <v>680</v>
      </c>
      <c r="M98" s="1">
        <v>856</v>
      </c>
      <c r="N98" s="1">
        <v>696</v>
      </c>
      <c r="O98" s="3">
        <v>5177</v>
      </c>
      <c r="P98" s="1">
        <v>811</v>
      </c>
      <c r="Q98" s="1">
        <v>865</v>
      </c>
      <c r="R98" s="1">
        <v>2153</v>
      </c>
      <c r="S98" s="1">
        <v>6527</v>
      </c>
      <c r="T98" s="1">
        <v>11724</v>
      </c>
      <c r="U98" s="1">
        <v>15422</v>
      </c>
      <c r="V98" s="1">
        <v>20748</v>
      </c>
      <c r="W98" s="1">
        <v>24160</v>
      </c>
      <c r="X98" s="1">
        <v>23436</v>
      </c>
      <c r="Y98" s="1">
        <v>23586</v>
      </c>
      <c r="Z98" s="1">
        <v>17874</v>
      </c>
      <c r="AA98" s="1">
        <v>23575</v>
      </c>
      <c r="AB98" s="3">
        <v>170881</v>
      </c>
      <c r="AC98" s="1">
        <v>18438</v>
      </c>
      <c r="AD98" s="1">
        <v>19296</v>
      </c>
      <c r="AE98" s="1">
        <v>27798</v>
      </c>
      <c r="AF98" s="1">
        <v>29555</v>
      </c>
      <c r="AG98" s="1">
        <v>29460</v>
      </c>
      <c r="AH98" s="1">
        <v>28644</v>
      </c>
      <c r="AI98" s="1">
        <v>34667</v>
      </c>
      <c r="AJ98" s="1">
        <v>35822</v>
      </c>
      <c r="AK98" s="1">
        <v>32850</v>
      </c>
      <c r="AL98" s="1">
        <v>30043</v>
      </c>
      <c r="AM98" s="1">
        <v>22367</v>
      </c>
      <c r="AN98" s="1">
        <v>26269</v>
      </c>
      <c r="AO98" s="3">
        <v>335209</v>
      </c>
      <c r="AP98" s="1">
        <v>23749</v>
      </c>
      <c r="AQ98" s="1">
        <v>25888</v>
      </c>
      <c r="AR98" s="1">
        <v>39621</v>
      </c>
      <c r="AS98" s="1">
        <v>31918</v>
      </c>
      <c r="AT98" s="1">
        <v>34205</v>
      </c>
      <c r="AU98" s="1">
        <v>31735</v>
      </c>
      <c r="AV98" s="1">
        <v>39819</v>
      </c>
      <c r="AW98" s="1">
        <v>40468</v>
      </c>
      <c r="AX98" s="1">
        <v>35693</v>
      </c>
      <c r="AY98" s="1">
        <v>33921</v>
      </c>
      <c r="AZ98" s="1">
        <v>24440</v>
      </c>
      <c r="BA98" s="1">
        <v>30349</v>
      </c>
      <c r="BB98" s="3">
        <v>391806</v>
      </c>
      <c r="BC98" s="1">
        <v>26507</v>
      </c>
      <c r="BD98" s="1">
        <v>25269</v>
      </c>
      <c r="BE98" s="1">
        <v>33623</v>
      </c>
      <c r="BF98" s="1">
        <v>40946</v>
      </c>
      <c r="BG98" s="1">
        <v>36877</v>
      </c>
      <c r="BH98" s="1">
        <v>36189</v>
      </c>
      <c r="BI98" s="1">
        <v>43372</v>
      </c>
      <c r="BJ98" s="1">
        <v>43868</v>
      </c>
      <c r="BK98" s="1">
        <v>35006</v>
      </c>
      <c r="BL98" s="1">
        <v>34337</v>
      </c>
      <c r="BM98" s="1">
        <v>26157</v>
      </c>
      <c r="BN98" s="1">
        <v>30751</v>
      </c>
      <c r="BO98" s="3">
        <v>412902</v>
      </c>
      <c r="BP98" s="3">
        <f t="shared" si="2"/>
        <v>1315975</v>
      </c>
    </row>
    <row r="99" spans="1:69" x14ac:dyDescent="0.2">
      <c r="A99" s="3">
        <v>52</v>
      </c>
      <c r="B99" t="s">
        <v>106</v>
      </c>
      <c r="C99" s="1">
        <v>77</v>
      </c>
      <c r="D99" s="1">
        <v>447</v>
      </c>
      <c r="E99" s="1">
        <v>410</v>
      </c>
      <c r="F99" s="1">
        <v>742</v>
      </c>
      <c r="G99" s="1">
        <v>694</v>
      </c>
      <c r="H99" s="1">
        <v>753</v>
      </c>
      <c r="I99" s="1">
        <v>301</v>
      </c>
      <c r="J99" s="1">
        <v>73</v>
      </c>
      <c r="K99" s="1">
        <v>256</v>
      </c>
      <c r="L99" s="1">
        <v>806</v>
      </c>
      <c r="M99" s="1">
        <v>1509</v>
      </c>
      <c r="N99" s="1">
        <v>2324</v>
      </c>
      <c r="O99" s="3">
        <v>8392</v>
      </c>
      <c r="P99" s="1">
        <v>1151</v>
      </c>
      <c r="Q99" s="1">
        <v>1349</v>
      </c>
      <c r="R99" s="1">
        <v>2167</v>
      </c>
      <c r="S99" s="1">
        <v>2555</v>
      </c>
      <c r="T99" s="1">
        <v>2505</v>
      </c>
      <c r="U99" s="1">
        <v>3537</v>
      </c>
      <c r="V99" s="1">
        <v>3265</v>
      </c>
      <c r="W99" s="1">
        <v>4211</v>
      </c>
      <c r="X99" s="1">
        <v>5349</v>
      </c>
      <c r="Y99" s="1">
        <v>11916</v>
      </c>
      <c r="Z99" s="1">
        <v>15540</v>
      </c>
      <c r="AA99" s="1">
        <v>22033</v>
      </c>
      <c r="AB99" s="3">
        <v>75578</v>
      </c>
      <c r="AC99" s="1">
        <v>23521</v>
      </c>
      <c r="AD99" s="1">
        <v>18436</v>
      </c>
      <c r="AE99" s="1">
        <v>15412</v>
      </c>
      <c r="AF99" s="1">
        <v>11619</v>
      </c>
      <c r="AG99" s="1">
        <v>10179</v>
      </c>
      <c r="AH99" s="1">
        <v>10152</v>
      </c>
      <c r="AI99" s="1">
        <v>10961</v>
      </c>
      <c r="AJ99" s="1">
        <v>10324</v>
      </c>
      <c r="AK99" s="1">
        <v>9788</v>
      </c>
      <c r="AL99" s="1">
        <v>11409</v>
      </c>
      <c r="AM99" s="1">
        <v>12004</v>
      </c>
      <c r="AN99" s="1">
        <v>17518</v>
      </c>
      <c r="AO99" s="3">
        <v>161323</v>
      </c>
      <c r="AP99" s="1">
        <v>19166</v>
      </c>
      <c r="AQ99" s="1">
        <v>16482</v>
      </c>
      <c r="AR99" s="1">
        <v>15286</v>
      </c>
      <c r="AS99" s="1">
        <v>13887</v>
      </c>
      <c r="AT99" s="1">
        <v>11343</v>
      </c>
      <c r="AU99" s="1">
        <v>10250</v>
      </c>
      <c r="AV99" s="1">
        <v>11580</v>
      </c>
      <c r="AW99" s="1">
        <v>11158</v>
      </c>
      <c r="AX99" s="1">
        <v>11624</v>
      </c>
      <c r="AY99" s="1">
        <v>16542</v>
      </c>
      <c r="AZ99" s="1">
        <v>18377</v>
      </c>
      <c r="BA99" s="1">
        <v>24430</v>
      </c>
      <c r="BB99" s="3">
        <v>180125</v>
      </c>
      <c r="BC99" s="1">
        <v>26039</v>
      </c>
      <c r="BD99" s="1">
        <v>21646</v>
      </c>
      <c r="BE99" s="1">
        <v>20749</v>
      </c>
      <c r="BF99" s="1">
        <v>17991</v>
      </c>
      <c r="BG99" s="1">
        <v>14829</v>
      </c>
      <c r="BH99" s="1">
        <v>15767</v>
      </c>
      <c r="BI99" s="1">
        <v>15544</v>
      </c>
      <c r="BJ99" s="1">
        <v>15243</v>
      </c>
      <c r="BK99" s="1">
        <v>13197</v>
      </c>
      <c r="BL99" s="1">
        <v>17469</v>
      </c>
      <c r="BM99" s="1">
        <v>17081</v>
      </c>
      <c r="BN99" s="1">
        <v>23607</v>
      </c>
      <c r="BO99" s="3">
        <v>219162</v>
      </c>
      <c r="BP99" s="3">
        <f t="shared" si="2"/>
        <v>644580</v>
      </c>
    </row>
    <row r="100" spans="1:69" x14ac:dyDescent="0.2">
      <c r="A100" s="3">
        <v>53</v>
      </c>
      <c r="B100" t="s">
        <v>107</v>
      </c>
      <c r="C100" s="1">
        <v>33</v>
      </c>
      <c r="D100" s="1">
        <v>196</v>
      </c>
      <c r="E100" s="1">
        <v>168</v>
      </c>
      <c r="F100" s="1">
        <v>444</v>
      </c>
      <c r="G100" s="1">
        <v>376</v>
      </c>
      <c r="H100" s="1">
        <v>506</v>
      </c>
      <c r="I100" s="1">
        <v>228</v>
      </c>
      <c r="J100" s="1">
        <v>45</v>
      </c>
      <c r="K100" s="1">
        <v>147</v>
      </c>
      <c r="L100" s="1">
        <v>467</v>
      </c>
      <c r="M100" s="1">
        <v>662</v>
      </c>
      <c r="N100" s="1">
        <v>504</v>
      </c>
      <c r="O100" s="3">
        <v>3776</v>
      </c>
      <c r="P100" s="1">
        <v>608</v>
      </c>
      <c r="Q100" s="1">
        <v>868</v>
      </c>
      <c r="R100" s="1">
        <v>1946</v>
      </c>
      <c r="S100" s="1">
        <v>5353</v>
      </c>
      <c r="T100" s="1">
        <v>9426</v>
      </c>
      <c r="U100" s="1">
        <v>10376</v>
      </c>
      <c r="V100" s="1">
        <v>20561</v>
      </c>
      <c r="W100" s="1">
        <v>26824</v>
      </c>
      <c r="X100" s="1">
        <v>17961</v>
      </c>
      <c r="Y100" s="1">
        <v>19333</v>
      </c>
      <c r="Z100" s="1">
        <v>11578</v>
      </c>
      <c r="AA100" s="1">
        <v>9707</v>
      </c>
      <c r="AB100" s="3">
        <v>134541</v>
      </c>
      <c r="AC100" s="1">
        <v>10670</v>
      </c>
      <c r="AD100" s="1">
        <v>12556</v>
      </c>
      <c r="AE100" s="1">
        <v>14176</v>
      </c>
      <c r="AF100" s="1">
        <v>20970</v>
      </c>
      <c r="AG100" s="1">
        <v>24889</v>
      </c>
      <c r="AH100" s="1">
        <v>20525</v>
      </c>
      <c r="AI100" s="1">
        <v>38015</v>
      </c>
      <c r="AJ100" s="1">
        <v>41235</v>
      </c>
      <c r="AK100" s="1">
        <v>30798</v>
      </c>
      <c r="AL100" s="1">
        <v>30103</v>
      </c>
      <c r="AM100" s="1">
        <v>16731</v>
      </c>
      <c r="AN100" s="1">
        <v>13014</v>
      </c>
      <c r="AO100" s="3">
        <v>273682</v>
      </c>
      <c r="AP100" s="1">
        <v>13216</v>
      </c>
      <c r="AQ100" s="1">
        <v>17308</v>
      </c>
      <c r="AR100" s="1">
        <v>18413</v>
      </c>
      <c r="AS100" s="1">
        <v>32841</v>
      </c>
      <c r="AT100" s="1">
        <v>33081</v>
      </c>
      <c r="AU100" s="1">
        <v>26268</v>
      </c>
      <c r="AV100" s="1">
        <v>47041</v>
      </c>
      <c r="AW100" s="1">
        <v>50406</v>
      </c>
      <c r="AX100" s="1">
        <v>38581</v>
      </c>
      <c r="AY100" s="1">
        <v>36260</v>
      </c>
      <c r="AZ100" s="1">
        <v>18797</v>
      </c>
      <c r="BA100" s="1">
        <v>14224</v>
      </c>
      <c r="BB100" s="3">
        <v>346436</v>
      </c>
      <c r="BC100" s="1">
        <v>14646</v>
      </c>
      <c r="BD100" s="1">
        <v>16530</v>
      </c>
      <c r="BE100" s="1">
        <v>17850</v>
      </c>
      <c r="BF100" s="1">
        <v>33373</v>
      </c>
      <c r="BG100" s="1">
        <v>35244</v>
      </c>
      <c r="BH100" s="1">
        <v>30571</v>
      </c>
      <c r="BI100" s="1">
        <v>53878</v>
      </c>
      <c r="BJ100" s="1">
        <v>57952</v>
      </c>
      <c r="BK100" s="1">
        <v>39451</v>
      </c>
      <c r="BL100" s="1">
        <v>35570</v>
      </c>
      <c r="BM100" s="1">
        <v>18150</v>
      </c>
      <c r="BN100" s="1">
        <v>14689</v>
      </c>
      <c r="BO100" s="3">
        <v>367904</v>
      </c>
      <c r="BP100" s="3">
        <f t="shared" si="2"/>
        <v>1126339</v>
      </c>
    </row>
    <row r="101" spans="1:69" x14ac:dyDescent="0.2">
      <c r="A101" s="3">
        <v>54</v>
      </c>
      <c r="B101" t="s">
        <v>108</v>
      </c>
      <c r="C101" s="1">
        <v>33</v>
      </c>
      <c r="D101" s="1">
        <v>176</v>
      </c>
      <c r="E101" s="1">
        <v>152</v>
      </c>
      <c r="F101" s="1">
        <v>432</v>
      </c>
      <c r="G101" s="1">
        <v>357</v>
      </c>
      <c r="H101" s="1">
        <v>421</v>
      </c>
      <c r="I101" s="1">
        <v>207</v>
      </c>
      <c r="J101" s="1">
        <v>51</v>
      </c>
      <c r="K101" s="1">
        <v>148</v>
      </c>
      <c r="L101" s="1">
        <v>465</v>
      </c>
      <c r="M101" s="1">
        <v>608</v>
      </c>
      <c r="N101" s="1">
        <v>379</v>
      </c>
      <c r="O101" s="3">
        <v>3429</v>
      </c>
      <c r="P101" s="1">
        <v>440</v>
      </c>
      <c r="Q101" s="1">
        <v>540</v>
      </c>
      <c r="R101" s="1">
        <v>1748</v>
      </c>
      <c r="S101" s="1">
        <v>4804</v>
      </c>
      <c r="T101" s="1">
        <v>8531</v>
      </c>
      <c r="U101" s="1">
        <v>10432</v>
      </c>
      <c r="V101" s="1">
        <v>14855</v>
      </c>
      <c r="W101" s="1">
        <v>21373</v>
      </c>
      <c r="X101" s="1">
        <v>21189</v>
      </c>
      <c r="Y101" s="1">
        <v>18660</v>
      </c>
      <c r="Z101" s="1">
        <v>13008</v>
      </c>
      <c r="AA101" s="1">
        <v>13054</v>
      </c>
      <c r="AB101" s="3">
        <v>128634</v>
      </c>
      <c r="AC101" s="1">
        <v>13676</v>
      </c>
      <c r="AD101" s="1">
        <v>14496</v>
      </c>
      <c r="AE101" s="1">
        <v>19353</v>
      </c>
      <c r="AF101" s="1">
        <v>20496</v>
      </c>
      <c r="AG101" s="1">
        <v>24749</v>
      </c>
      <c r="AH101" s="1">
        <v>20553</v>
      </c>
      <c r="AI101" s="1">
        <v>25970</v>
      </c>
      <c r="AJ101" s="1">
        <v>31862</v>
      </c>
      <c r="AK101" s="1">
        <v>33754</v>
      </c>
      <c r="AL101" s="1">
        <v>27177</v>
      </c>
      <c r="AM101" s="1">
        <v>16910</v>
      </c>
      <c r="AN101" s="1">
        <v>14538</v>
      </c>
      <c r="AO101" s="3">
        <v>263534</v>
      </c>
      <c r="AP101" s="1">
        <v>15756</v>
      </c>
      <c r="AQ101" s="1">
        <v>16721</v>
      </c>
      <c r="AR101" s="1">
        <v>23897</v>
      </c>
      <c r="AS101" s="1">
        <v>23384</v>
      </c>
      <c r="AT101" s="1">
        <v>26268</v>
      </c>
      <c r="AU101" s="1">
        <v>18904</v>
      </c>
      <c r="AV101" s="1">
        <v>27259</v>
      </c>
      <c r="AW101" s="1">
        <v>32098</v>
      </c>
      <c r="AX101" s="1">
        <v>34423</v>
      </c>
      <c r="AY101" s="1">
        <v>28418</v>
      </c>
      <c r="AZ101" s="1">
        <v>17958</v>
      </c>
      <c r="BA101" s="1">
        <v>15911</v>
      </c>
      <c r="BB101" s="3">
        <v>280997</v>
      </c>
      <c r="BC101" s="1">
        <v>14679</v>
      </c>
      <c r="BD101" s="1">
        <v>17517</v>
      </c>
      <c r="BE101" s="1">
        <v>21053</v>
      </c>
      <c r="BF101" s="1">
        <v>26169</v>
      </c>
      <c r="BG101" s="1">
        <v>24860</v>
      </c>
      <c r="BH101" s="1">
        <v>21853</v>
      </c>
      <c r="BI101" s="1">
        <v>29051</v>
      </c>
      <c r="BJ101" s="1">
        <v>37506</v>
      </c>
      <c r="BK101" s="1">
        <v>33584</v>
      </c>
      <c r="BL101" s="1">
        <v>28264</v>
      </c>
      <c r="BM101" s="1">
        <v>17038</v>
      </c>
      <c r="BN101" s="1">
        <v>16022</v>
      </c>
      <c r="BO101" s="3">
        <v>287596</v>
      </c>
      <c r="BP101" s="3">
        <f t="shared" si="2"/>
        <v>964190</v>
      </c>
    </row>
    <row r="102" spans="1:69" x14ac:dyDescent="0.2">
      <c r="A102" s="3">
        <v>55</v>
      </c>
      <c r="B102" t="s">
        <v>109</v>
      </c>
      <c r="C102" s="1">
        <v>890</v>
      </c>
      <c r="D102" s="1">
        <v>826</v>
      </c>
      <c r="E102" s="1">
        <v>693</v>
      </c>
      <c r="F102" s="1">
        <v>820</v>
      </c>
      <c r="G102" s="1">
        <v>916</v>
      </c>
      <c r="H102" s="1">
        <v>1057</v>
      </c>
      <c r="I102" s="1">
        <v>952</v>
      </c>
      <c r="J102" s="1">
        <v>864</v>
      </c>
      <c r="K102" s="1">
        <v>1024</v>
      </c>
      <c r="L102" s="1">
        <v>1269</v>
      </c>
      <c r="M102" s="1">
        <v>1574</v>
      </c>
      <c r="N102" s="1">
        <v>1344</v>
      </c>
      <c r="O102" s="3">
        <v>12229</v>
      </c>
      <c r="P102" s="1">
        <v>1411</v>
      </c>
      <c r="Q102" s="1">
        <v>1346</v>
      </c>
      <c r="R102" s="1">
        <v>2404</v>
      </c>
      <c r="S102" s="1">
        <v>5074</v>
      </c>
      <c r="T102" s="1">
        <v>7185</v>
      </c>
      <c r="U102" s="1">
        <v>8249</v>
      </c>
      <c r="V102" s="1">
        <v>18201</v>
      </c>
      <c r="W102" s="1">
        <v>15054</v>
      </c>
      <c r="X102" s="1">
        <v>15399</v>
      </c>
      <c r="Y102" s="1">
        <v>14790</v>
      </c>
      <c r="Z102" s="1">
        <v>12711</v>
      </c>
      <c r="AA102" s="1">
        <v>13228</v>
      </c>
      <c r="AB102" s="3">
        <v>115052</v>
      </c>
      <c r="AC102" s="1">
        <v>14918</v>
      </c>
      <c r="AD102" s="1">
        <v>14341</v>
      </c>
      <c r="AE102" s="1">
        <v>15187</v>
      </c>
      <c r="AF102" s="1">
        <v>18185</v>
      </c>
      <c r="AG102" s="1">
        <v>20447</v>
      </c>
      <c r="AH102" s="1">
        <v>18649</v>
      </c>
      <c r="AI102" s="1">
        <v>37772</v>
      </c>
      <c r="AJ102" s="1">
        <v>26069</v>
      </c>
      <c r="AK102" s="1">
        <v>27214</v>
      </c>
      <c r="AL102" s="1">
        <v>22160</v>
      </c>
      <c r="AM102" s="1">
        <v>15863</v>
      </c>
      <c r="AN102" s="1">
        <v>19396</v>
      </c>
      <c r="AO102" s="3">
        <v>250201</v>
      </c>
      <c r="AP102" s="1">
        <v>19944</v>
      </c>
      <c r="AQ102" s="1">
        <v>19894</v>
      </c>
      <c r="AR102" s="1">
        <v>20384</v>
      </c>
      <c r="AS102" s="1">
        <v>27434</v>
      </c>
      <c r="AT102" s="1">
        <v>26354</v>
      </c>
      <c r="AU102" s="1">
        <v>22886</v>
      </c>
      <c r="AV102" s="1">
        <v>46366</v>
      </c>
      <c r="AW102" s="1">
        <v>30207</v>
      </c>
      <c r="AX102" s="1">
        <v>31291</v>
      </c>
      <c r="AY102" s="1">
        <v>27472</v>
      </c>
      <c r="AZ102" s="1">
        <v>21796</v>
      </c>
      <c r="BA102" s="1">
        <v>15777</v>
      </c>
      <c r="BB102" s="3">
        <v>309805</v>
      </c>
      <c r="BC102" s="1">
        <v>15112</v>
      </c>
      <c r="BD102" s="1">
        <v>14122</v>
      </c>
      <c r="BE102" s="1">
        <v>15168</v>
      </c>
      <c r="BF102" s="1">
        <v>21611</v>
      </c>
      <c r="BG102" s="1">
        <v>20102</v>
      </c>
      <c r="BH102" s="1">
        <v>17058</v>
      </c>
      <c r="BI102" s="1">
        <v>45100</v>
      </c>
      <c r="BJ102" s="1">
        <v>25691</v>
      </c>
      <c r="BK102" s="1">
        <v>26475</v>
      </c>
      <c r="BL102" s="1">
        <v>20716</v>
      </c>
      <c r="BM102" s="1">
        <v>14769</v>
      </c>
      <c r="BN102" s="1">
        <v>16017</v>
      </c>
      <c r="BO102" s="3">
        <v>251941</v>
      </c>
      <c r="BP102" s="3">
        <f t="shared" si="2"/>
        <v>939228</v>
      </c>
    </row>
    <row r="103" spans="1:69" x14ac:dyDescent="0.2">
      <c r="A103" s="3">
        <v>56</v>
      </c>
      <c r="B103" t="s">
        <v>110</v>
      </c>
      <c r="C103" s="1">
        <v>78</v>
      </c>
      <c r="D103" s="1">
        <v>136</v>
      </c>
      <c r="E103" s="1">
        <v>178</v>
      </c>
      <c r="F103" s="1">
        <v>312</v>
      </c>
      <c r="G103" s="1">
        <v>222</v>
      </c>
      <c r="H103" s="1">
        <v>227</v>
      </c>
      <c r="I103" s="1">
        <v>101</v>
      </c>
      <c r="J103" s="1">
        <v>57</v>
      </c>
      <c r="K103" s="1">
        <v>89</v>
      </c>
      <c r="L103" s="1">
        <v>218</v>
      </c>
      <c r="M103" s="1">
        <v>494</v>
      </c>
      <c r="N103" s="1">
        <v>227</v>
      </c>
      <c r="O103" s="3">
        <v>2339</v>
      </c>
      <c r="P103" s="1">
        <v>232</v>
      </c>
      <c r="Q103" s="1">
        <v>469</v>
      </c>
      <c r="R103" s="1">
        <v>885</v>
      </c>
      <c r="S103" s="1">
        <v>1172</v>
      </c>
      <c r="T103" s="1">
        <v>1986</v>
      </c>
      <c r="U103" s="1">
        <v>2953</v>
      </c>
      <c r="V103" s="1">
        <v>6136</v>
      </c>
      <c r="W103" s="1">
        <v>15309</v>
      </c>
      <c r="X103" s="1">
        <v>5901</v>
      </c>
      <c r="Y103" s="1">
        <v>4462</v>
      </c>
      <c r="Z103" s="1">
        <v>4133</v>
      </c>
      <c r="AA103" s="1">
        <v>3777</v>
      </c>
      <c r="AB103" s="3">
        <v>47415</v>
      </c>
      <c r="AC103" s="1">
        <v>3540</v>
      </c>
      <c r="AD103" s="1">
        <v>4064</v>
      </c>
      <c r="AE103" s="1">
        <v>4300</v>
      </c>
      <c r="AF103" s="1">
        <v>5137</v>
      </c>
      <c r="AG103" s="1">
        <v>5760</v>
      </c>
      <c r="AH103" s="1">
        <v>7389</v>
      </c>
      <c r="AI103" s="1">
        <v>12955</v>
      </c>
      <c r="AJ103" s="1">
        <v>31550</v>
      </c>
      <c r="AK103" s="1">
        <v>10715</v>
      </c>
      <c r="AL103" s="1">
        <v>7522</v>
      </c>
      <c r="AM103" s="1">
        <v>5727</v>
      </c>
      <c r="AN103" s="1">
        <v>5734</v>
      </c>
      <c r="AO103" s="3">
        <v>104393</v>
      </c>
      <c r="AP103" s="1">
        <v>5070</v>
      </c>
      <c r="AQ103" s="1">
        <v>5089</v>
      </c>
      <c r="AR103" s="1">
        <v>5874</v>
      </c>
      <c r="AS103" s="1">
        <v>7929</v>
      </c>
      <c r="AT103" s="1">
        <v>7241</v>
      </c>
      <c r="AU103" s="1">
        <v>9781</v>
      </c>
      <c r="AV103" s="1">
        <v>15727</v>
      </c>
      <c r="AW103" s="1">
        <v>40748</v>
      </c>
      <c r="AX103" s="1">
        <v>12918</v>
      </c>
      <c r="AY103" s="1">
        <v>8564</v>
      </c>
      <c r="AZ103" s="1">
        <v>6139</v>
      </c>
      <c r="BA103" s="1">
        <v>6071</v>
      </c>
      <c r="BB103" s="3">
        <v>131151</v>
      </c>
      <c r="BC103" s="1">
        <v>5289</v>
      </c>
      <c r="BD103" s="1">
        <v>4957</v>
      </c>
      <c r="BE103" s="1">
        <v>5679</v>
      </c>
      <c r="BF103" s="1">
        <v>10029</v>
      </c>
      <c r="BG103" s="1">
        <v>8666</v>
      </c>
      <c r="BH103" s="1">
        <v>11140</v>
      </c>
      <c r="BI103" s="1">
        <v>17227</v>
      </c>
      <c r="BJ103" s="1">
        <v>45846</v>
      </c>
      <c r="BK103" s="1">
        <v>14424</v>
      </c>
      <c r="BL103" s="1">
        <v>9695</v>
      </c>
      <c r="BM103" s="1">
        <v>6472</v>
      </c>
      <c r="BN103" s="1">
        <v>6936</v>
      </c>
      <c r="BO103" s="3">
        <v>146360</v>
      </c>
      <c r="BP103" s="3">
        <f t="shared" si="2"/>
        <v>431658</v>
      </c>
    </row>
    <row r="104" spans="1:69" x14ac:dyDescent="0.2">
      <c r="A104" s="3">
        <v>57</v>
      </c>
      <c r="B104" t="s">
        <v>111</v>
      </c>
      <c r="C104" s="1">
        <v>109</v>
      </c>
      <c r="D104" s="1">
        <v>123</v>
      </c>
      <c r="E104" s="1">
        <v>172</v>
      </c>
      <c r="F104" s="1">
        <v>206</v>
      </c>
      <c r="G104" s="1">
        <v>361</v>
      </c>
      <c r="H104" s="1">
        <v>314</v>
      </c>
      <c r="I104" s="1">
        <v>342</v>
      </c>
      <c r="J104" s="1">
        <v>249</v>
      </c>
      <c r="K104" s="1">
        <v>212</v>
      </c>
      <c r="L104" s="1">
        <v>386</v>
      </c>
      <c r="M104" s="1">
        <v>561</v>
      </c>
      <c r="N104" s="1">
        <v>220</v>
      </c>
      <c r="O104" s="3">
        <v>3255</v>
      </c>
      <c r="P104" s="1">
        <v>538</v>
      </c>
      <c r="Q104" s="1">
        <v>614</v>
      </c>
      <c r="R104" s="1">
        <v>1360</v>
      </c>
      <c r="S104" s="1">
        <v>1590</v>
      </c>
      <c r="T104" s="1">
        <v>2427</v>
      </c>
      <c r="U104" s="1">
        <v>3702</v>
      </c>
      <c r="V104" s="1">
        <v>7411</v>
      </c>
      <c r="W104" s="1">
        <v>10819</v>
      </c>
      <c r="X104" s="1">
        <v>7488</v>
      </c>
      <c r="Y104" s="1">
        <v>6665</v>
      </c>
      <c r="Z104" s="1">
        <v>4791</v>
      </c>
      <c r="AA104" s="1">
        <v>4158</v>
      </c>
      <c r="AB104" s="3">
        <v>51563</v>
      </c>
      <c r="AC104" s="1">
        <v>3890</v>
      </c>
      <c r="AD104" s="1">
        <v>4085</v>
      </c>
      <c r="AE104" s="1">
        <v>5654</v>
      </c>
      <c r="AF104" s="1">
        <v>6518</v>
      </c>
      <c r="AG104" s="1">
        <v>7218</v>
      </c>
      <c r="AH104" s="1">
        <v>8945</v>
      </c>
      <c r="AI104" s="1">
        <v>13587</v>
      </c>
      <c r="AJ104" s="1">
        <v>19033</v>
      </c>
      <c r="AK104" s="1">
        <v>13190</v>
      </c>
      <c r="AL104" s="1">
        <v>10382</v>
      </c>
      <c r="AM104" s="1">
        <v>7119</v>
      </c>
      <c r="AN104" s="1">
        <v>6960</v>
      </c>
      <c r="AO104" s="3">
        <v>106581</v>
      </c>
      <c r="AP104" s="1">
        <v>5751</v>
      </c>
      <c r="AQ104" s="1">
        <v>6501</v>
      </c>
      <c r="AR104" s="1">
        <v>8528</v>
      </c>
      <c r="AS104" s="1">
        <v>9056</v>
      </c>
      <c r="AT104" s="1">
        <v>10810</v>
      </c>
      <c r="AU104" s="1">
        <v>12247</v>
      </c>
      <c r="AV104" s="1">
        <v>19491</v>
      </c>
      <c r="AW104" s="1">
        <v>26157</v>
      </c>
      <c r="AX104" s="1">
        <v>16707</v>
      </c>
      <c r="AY104" s="1">
        <v>11297</v>
      </c>
      <c r="AZ104" s="1">
        <v>8254</v>
      </c>
      <c r="BA104" s="1">
        <v>6601</v>
      </c>
      <c r="BB104" s="3">
        <v>141400</v>
      </c>
      <c r="BC104" s="1">
        <v>5243</v>
      </c>
      <c r="BD104" s="1">
        <v>5196</v>
      </c>
      <c r="BE104" s="1">
        <v>6111</v>
      </c>
      <c r="BF104" s="1">
        <v>9651</v>
      </c>
      <c r="BG104" s="1">
        <v>9085</v>
      </c>
      <c r="BH104" s="1">
        <v>12380</v>
      </c>
      <c r="BI104" s="1">
        <v>19215</v>
      </c>
      <c r="BJ104" s="1">
        <v>27119</v>
      </c>
      <c r="BK104" s="1">
        <v>17371</v>
      </c>
      <c r="BL104" s="1">
        <v>13137</v>
      </c>
      <c r="BM104" s="1">
        <v>8698</v>
      </c>
      <c r="BN104" s="1">
        <v>7039</v>
      </c>
      <c r="BO104" s="3">
        <v>140245</v>
      </c>
      <c r="BP104" s="3">
        <f t="shared" si="2"/>
        <v>443044</v>
      </c>
    </row>
    <row r="105" spans="1:69" x14ac:dyDescent="0.2">
      <c r="A105" s="3">
        <v>58</v>
      </c>
      <c r="B105" t="s">
        <v>112</v>
      </c>
      <c r="C105" s="1">
        <v>10</v>
      </c>
      <c r="D105" s="1">
        <v>43</v>
      </c>
      <c r="E105" s="1">
        <v>48</v>
      </c>
      <c r="F105" s="1">
        <v>105</v>
      </c>
      <c r="G105" s="1">
        <v>80</v>
      </c>
      <c r="H105" s="1">
        <v>113</v>
      </c>
      <c r="I105" s="1">
        <v>49</v>
      </c>
      <c r="J105" s="1">
        <v>6</v>
      </c>
      <c r="K105" s="1">
        <v>19</v>
      </c>
      <c r="L105" s="1">
        <v>66</v>
      </c>
      <c r="M105" s="1">
        <v>108</v>
      </c>
      <c r="N105" s="1">
        <v>105</v>
      </c>
      <c r="O105" s="3">
        <v>752</v>
      </c>
      <c r="P105" s="1">
        <v>89</v>
      </c>
      <c r="Q105" s="1">
        <v>74</v>
      </c>
      <c r="R105" s="1">
        <v>201</v>
      </c>
      <c r="S105" s="1">
        <v>652</v>
      </c>
      <c r="T105" s="1">
        <v>1161</v>
      </c>
      <c r="U105" s="1">
        <v>1531</v>
      </c>
      <c r="V105" s="1">
        <v>1921</v>
      </c>
      <c r="W105" s="1">
        <v>2509</v>
      </c>
      <c r="X105" s="1">
        <v>2742</v>
      </c>
      <c r="Y105" s="1">
        <v>2785</v>
      </c>
      <c r="Z105" s="1">
        <v>2676</v>
      </c>
      <c r="AA105" s="1">
        <v>2060</v>
      </c>
      <c r="AB105" s="3">
        <v>18401</v>
      </c>
      <c r="AC105" s="1">
        <v>2763</v>
      </c>
      <c r="AD105" s="1">
        <v>3234</v>
      </c>
      <c r="AE105" s="1">
        <v>3160</v>
      </c>
      <c r="AF105" s="1">
        <v>3312</v>
      </c>
      <c r="AG105" s="1">
        <v>2917</v>
      </c>
      <c r="AH105" s="1">
        <v>2992</v>
      </c>
      <c r="AI105" s="1">
        <v>3601</v>
      </c>
      <c r="AJ105" s="1">
        <v>4087</v>
      </c>
      <c r="AK105" s="1">
        <v>4836</v>
      </c>
      <c r="AL105" s="1">
        <v>4367</v>
      </c>
      <c r="AM105" s="1">
        <v>3889</v>
      </c>
      <c r="AN105" s="1">
        <v>2830</v>
      </c>
      <c r="AO105" s="3">
        <v>41988</v>
      </c>
      <c r="AP105" s="1">
        <v>3692</v>
      </c>
      <c r="AQ105" s="1">
        <v>3841</v>
      </c>
      <c r="AR105" s="1">
        <v>3873</v>
      </c>
      <c r="AS105" s="1">
        <v>4755</v>
      </c>
      <c r="AT105" s="1">
        <v>3387</v>
      </c>
      <c r="AU105" s="1">
        <v>4281</v>
      </c>
      <c r="AV105" s="1">
        <v>4869</v>
      </c>
      <c r="AW105" s="1">
        <v>5366</v>
      </c>
      <c r="AX105" s="1">
        <v>5613</v>
      </c>
      <c r="AY105" s="1">
        <v>5442</v>
      </c>
      <c r="AZ105" s="1">
        <v>5392</v>
      </c>
      <c r="BA105" s="1">
        <v>3483</v>
      </c>
      <c r="BB105" s="3">
        <v>53994</v>
      </c>
      <c r="BC105" s="1">
        <v>4961</v>
      </c>
      <c r="BD105" s="1">
        <v>6110</v>
      </c>
      <c r="BE105" s="1">
        <v>5392</v>
      </c>
      <c r="BF105" s="1">
        <v>4620</v>
      </c>
      <c r="BG105" s="1">
        <v>3953</v>
      </c>
      <c r="BH105" s="1">
        <v>5389</v>
      </c>
      <c r="BI105" s="1">
        <v>6440</v>
      </c>
      <c r="BJ105" s="1">
        <v>7108</v>
      </c>
      <c r="BK105" s="1">
        <v>7573</v>
      </c>
      <c r="BL105" s="1">
        <v>6414</v>
      </c>
      <c r="BM105" s="1">
        <v>5965</v>
      </c>
      <c r="BN105" s="1">
        <v>4175</v>
      </c>
      <c r="BO105" s="3">
        <v>68100</v>
      </c>
      <c r="BP105" s="3">
        <f t="shared" si="2"/>
        <v>183235</v>
      </c>
    </row>
    <row r="106" spans="1:69" x14ac:dyDescent="0.2">
      <c r="A106" s="3">
        <v>59</v>
      </c>
      <c r="B106" t="s">
        <v>113</v>
      </c>
      <c r="C106" s="1">
        <v>69</v>
      </c>
      <c r="D106" s="1">
        <v>229</v>
      </c>
      <c r="E106" s="1">
        <v>215</v>
      </c>
      <c r="F106" s="1">
        <v>356</v>
      </c>
      <c r="G106" s="1">
        <v>302</v>
      </c>
      <c r="H106" s="1">
        <v>412</v>
      </c>
      <c r="I106" s="1">
        <v>118</v>
      </c>
      <c r="J106" s="1">
        <v>40</v>
      </c>
      <c r="K106" s="1">
        <v>67</v>
      </c>
      <c r="L106" s="1">
        <v>257</v>
      </c>
      <c r="M106" s="1">
        <v>354</v>
      </c>
      <c r="N106" s="1">
        <v>625</v>
      </c>
      <c r="O106" s="3">
        <v>3044</v>
      </c>
      <c r="P106" s="1">
        <v>458</v>
      </c>
      <c r="Q106" s="1">
        <v>441</v>
      </c>
      <c r="R106" s="1">
        <v>495</v>
      </c>
      <c r="S106" s="1">
        <v>664</v>
      </c>
      <c r="T106" s="1">
        <v>494</v>
      </c>
      <c r="U106" s="1">
        <v>687</v>
      </c>
      <c r="V106" s="1">
        <v>740</v>
      </c>
      <c r="W106" s="1">
        <v>1001</v>
      </c>
      <c r="X106" s="1">
        <v>1045</v>
      </c>
      <c r="Y106" s="1">
        <v>1257</v>
      </c>
      <c r="Z106" s="1">
        <v>1652</v>
      </c>
      <c r="AA106" s="1">
        <v>2494</v>
      </c>
      <c r="AB106" s="3">
        <v>11428</v>
      </c>
      <c r="AC106" s="1">
        <v>2876</v>
      </c>
      <c r="AD106" s="1">
        <v>2499</v>
      </c>
      <c r="AE106" s="1">
        <v>2020</v>
      </c>
      <c r="AF106" s="1">
        <v>1792</v>
      </c>
      <c r="AG106" s="1">
        <v>1436</v>
      </c>
      <c r="AH106" s="1">
        <v>1477</v>
      </c>
      <c r="AI106" s="1">
        <v>1368</v>
      </c>
      <c r="AJ106" s="1">
        <v>1468</v>
      </c>
      <c r="AK106" s="1">
        <v>1400</v>
      </c>
      <c r="AL106" s="1">
        <v>1673</v>
      </c>
      <c r="AM106" s="1">
        <v>1777</v>
      </c>
      <c r="AN106" s="1">
        <v>2418</v>
      </c>
      <c r="AO106" s="3">
        <v>22204</v>
      </c>
      <c r="AP106" s="1">
        <v>3052</v>
      </c>
      <c r="AQ106" s="1">
        <v>4212</v>
      </c>
      <c r="AR106" s="1">
        <v>2319</v>
      </c>
      <c r="AS106" s="1">
        <v>2143</v>
      </c>
      <c r="AT106" s="1">
        <v>1820</v>
      </c>
      <c r="AU106" s="1">
        <v>1528</v>
      </c>
      <c r="AV106" s="1">
        <v>1809</v>
      </c>
      <c r="AW106" s="1">
        <v>1686</v>
      </c>
      <c r="AX106" s="1">
        <v>1503</v>
      </c>
      <c r="AY106" s="1">
        <v>2030</v>
      </c>
      <c r="AZ106" s="1">
        <v>2318</v>
      </c>
      <c r="BA106" s="1">
        <v>3221</v>
      </c>
      <c r="BB106" s="3">
        <v>27641</v>
      </c>
      <c r="BC106" s="1">
        <v>3934</v>
      </c>
      <c r="BD106" s="1">
        <v>3118</v>
      </c>
      <c r="BE106" s="1">
        <v>2982</v>
      </c>
      <c r="BF106" s="1">
        <v>2177</v>
      </c>
      <c r="BG106" s="1">
        <v>2027</v>
      </c>
      <c r="BH106" s="1">
        <v>2276</v>
      </c>
      <c r="BI106" s="1">
        <v>2057</v>
      </c>
      <c r="BJ106" s="1">
        <v>2014</v>
      </c>
      <c r="BK106" s="1">
        <v>2055</v>
      </c>
      <c r="BL106" s="1">
        <v>2283</v>
      </c>
      <c r="BM106" s="1">
        <v>2387</v>
      </c>
      <c r="BN106" s="1">
        <v>3378</v>
      </c>
      <c r="BO106" s="3">
        <v>30688</v>
      </c>
      <c r="BP106" s="3">
        <f t="shared" si="2"/>
        <v>95005</v>
      </c>
    </row>
    <row r="107" spans="1:69" x14ac:dyDescent="0.2">
      <c r="A107" s="3">
        <v>60</v>
      </c>
      <c r="B107" t="s">
        <v>114</v>
      </c>
      <c r="C107" s="1">
        <v>284</v>
      </c>
      <c r="D107" s="1">
        <v>245</v>
      </c>
      <c r="E107" s="1">
        <v>277</v>
      </c>
      <c r="F107" s="1">
        <v>303</v>
      </c>
      <c r="G107" s="1">
        <v>253</v>
      </c>
      <c r="H107" s="1">
        <v>249</v>
      </c>
      <c r="I107" s="1">
        <v>267</v>
      </c>
      <c r="J107" s="1">
        <v>247</v>
      </c>
      <c r="K107" s="1">
        <v>321</v>
      </c>
      <c r="L107" s="1">
        <v>316</v>
      </c>
      <c r="M107" s="1">
        <v>392</v>
      </c>
      <c r="N107" s="1">
        <v>362</v>
      </c>
      <c r="O107" s="3">
        <v>3516</v>
      </c>
      <c r="P107" s="1">
        <v>421</v>
      </c>
      <c r="Q107" s="1">
        <v>401</v>
      </c>
      <c r="R107" s="1">
        <v>573</v>
      </c>
      <c r="S107" s="1">
        <v>989</v>
      </c>
      <c r="T107" s="1">
        <v>1072</v>
      </c>
      <c r="U107" s="1">
        <v>1617</v>
      </c>
      <c r="V107" s="1">
        <v>1764</v>
      </c>
      <c r="W107" s="1">
        <v>1499</v>
      </c>
      <c r="X107" s="1">
        <v>2008</v>
      </c>
      <c r="Y107" s="1">
        <v>2982</v>
      </c>
      <c r="Z107" s="1">
        <v>2809</v>
      </c>
      <c r="AA107" s="1">
        <v>3750</v>
      </c>
      <c r="AB107" s="3">
        <v>19885</v>
      </c>
      <c r="AC107" s="1">
        <v>3806</v>
      </c>
      <c r="AD107" s="1">
        <v>3554</v>
      </c>
      <c r="AE107" s="1">
        <v>3953</v>
      </c>
      <c r="AF107" s="1">
        <v>3116</v>
      </c>
      <c r="AG107" s="1">
        <v>2307</v>
      </c>
      <c r="AH107" s="1">
        <v>2912</v>
      </c>
      <c r="AI107" s="1">
        <v>2730</v>
      </c>
      <c r="AJ107" s="1">
        <v>1982</v>
      </c>
      <c r="AK107" s="1">
        <v>2673</v>
      </c>
      <c r="AL107" s="1">
        <v>3560</v>
      </c>
      <c r="AM107" s="1">
        <v>2812</v>
      </c>
      <c r="AN107" s="1">
        <v>4076</v>
      </c>
      <c r="AO107" s="3">
        <v>37481</v>
      </c>
      <c r="AP107" s="1">
        <v>3855</v>
      </c>
      <c r="AQ107" s="1">
        <v>4153</v>
      </c>
      <c r="AR107" s="1">
        <v>4359</v>
      </c>
      <c r="AS107" s="1">
        <v>3164</v>
      </c>
      <c r="AT107" s="1">
        <v>2368</v>
      </c>
      <c r="AU107" s="1">
        <v>2881</v>
      </c>
      <c r="AV107" s="1">
        <v>3180</v>
      </c>
      <c r="AW107" s="1">
        <v>2154</v>
      </c>
      <c r="AX107" s="1">
        <v>2531</v>
      </c>
      <c r="AY107" s="1">
        <v>3375</v>
      </c>
      <c r="AZ107" s="1">
        <v>3132</v>
      </c>
      <c r="BA107" s="1">
        <v>4935</v>
      </c>
      <c r="BB107" s="3">
        <v>40087</v>
      </c>
      <c r="BC107" s="1">
        <v>3631</v>
      </c>
      <c r="BD107" s="1">
        <v>3690</v>
      </c>
      <c r="BE107" s="1">
        <v>3376</v>
      </c>
      <c r="BF107" s="1">
        <v>3168</v>
      </c>
      <c r="BG107" s="1">
        <v>1988</v>
      </c>
      <c r="BH107" s="1">
        <v>3041</v>
      </c>
      <c r="BI107" s="1">
        <v>3228</v>
      </c>
      <c r="BJ107" s="1">
        <v>2218</v>
      </c>
      <c r="BK107" s="1">
        <v>2637</v>
      </c>
      <c r="BL107" s="1">
        <v>3723</v>
      </c>
      <c r="BM107" s="1">
        <v>2877</v>
      </c>
      <c r="BN107" s="1">
        <v>5142</v>
      </c>
      <c r="BO107" s="3">
        <v>38719</v>
      </c>
      <c r="BP107" s="3">
        <f t="shared" si="2"/>
        <v>139688</v>
      </c>
    </row>
    <row r="108" spans="1:69" x14ac:dyDescent="0.2">
      <c r="A108" s="3">
        <v>61</v>
      </c>
      <c r="B108" t="s">
        <v>115</v>
      </c>
      <c r="C108" s="1">
        <v>11</v>
      </c>
      <c r="D108" s="1">
        <v>23</v>
      </c>
      <c r="E108" s="1">
        <v>29</v>
      </c>
      <c r="F108" s="1">
        <v>84</v>
      </c>
      <c r="G108" s="1">
        <v>50</v>
      </c>
      <c r="H108" s="1">
        <v>61</v>
      </c>
      <c r="I108" s="1">
        <v>30</v>
      </c>
      <c r="J108" s="1">
        <v>15</v>
      </c>
      <c r="K108" s="1">
        <v>44</v>
      </c>
      <c r="L108" s="1">
        <v>42</v>
      </c>
      <c r="M108" s="1">
        <v>111</v>
      </c>
      <c r="N108" s="1">
        <v>57</v>
      </c>
      <c r="O108" s="3">
        <v>557</v>
      </c>
      <c r="P108" s="1">
        <v>41</v>
      </c>
      <c r="Q108" s="1">
        <v>77</v>
      </c>
      <c r="R108" s="1">
        <v>232</v>
      </c>
      <c r="S108" s="1">
        <v>843</v>
      </c>
      <c r="T108" s="1">
        <v>1347</v>
      </c>
      <c r="U108" s="1">
        <v>1740</v>
      </c>
      <c r="V108" s="1">
        <v>4537</v>
      </c>
      <c r="W108" s="1">
        <v>2086</v>
      </c>
      <c r="X108" s="1">
        <v>2358</v>
      </c>
      <c r="Y108" s="1">
        <v>3455</v>
      </c>
      <c r="Z108" s="1">
        <v>2116</v>
      </c>
      <c r="AA108" s="1">
        <v>2081</v>
      </c>
      <c r="AB108" s="3">
        <v>20913</v>
      </c>
      <c r="AC108" s="1">
        <v>2907</v>
      </c>
      <c r="AD108" s="1">
        <v>3175</v>
      </c>
      <c r="AE108" s="1">
        <v>4313</v>
      </c>
      <c r="AF108" s="1">
        <v>3248</v>
      </c>
      <c r="AG108" s="1">
        <v>2758</v>
      </c>
      <c r="AH108" s="1">
        <v>2792</v>
      </c>
      <c r="AI108" s="1">
        <v>6465</v>
      </c>
      <c r="AJ108" s="1">
        <v>2627</v>
      </c>
      <c r="AK108" s="1">
        <v>2803</v>
      </c>
      <c r="AL108" s="1">
        <v>3597</v>
      </c>
      <c r="AM108" s="1">
        <v>2398</v>
      </c>
      <c r="AN108" s="1">
        <v>2472</v>
      </c>
      <c r="AO108" s="3">
        <v>39555</v>
      </c>
      <c r="AP108" s="1">
        <v>3072</v>
      </c>
      <c r="AQ108" s="1">
        <v>3748</v>
      </c>
      <c r="AR108" s="1">
        <v>4857</v>
      </c>
      <c r="AS108" s="1">
        <v>3507</v>
      </c>
      <c r="AT108" s="1">
        <v>2689</v>
      </c>
      <c r="AU108" s="1">
        <v>2143</v>
      </c>
      <c r="AV108" s="1">
        <v>7018</v>
      </c>
      <c r="AW108" s="1">
        <v>2411</v>
      </c>
      <c r="AX108" s="1">
        <v>3051</v>
      </c>
      <c r="AY108" s="1">
        <v>4263</v>
      </c>
      <c r="AZ108" s="1">
        <v>2428</v>
      </c>
      <c r="BA108" s="1">
        <v>2951</v>
      </c>
      <c r="BB108" s="3">
        <v>42138</v>
      </c>
      <c r="BC108" s="1">
        <v>3447</v>
      </c>
      <c r="BD108" s="1">
        <v>3641</v>
      </c>
      <c r="BE108" s="1">
        <v>3951</v>
      </c>
      <c r="BF108" s="1">
        <v>4867</v>
      </c>
      <c r="BG108" s="1">
        <v>2540</v>
      </c>
      <c r="BH108" s="1">
        <v>2729</v>
      </c>
      <c r="BI108" s="1">
        <v>7858</v>
      </c>
      <c r="BJ108" s="1">
        <v>2786</v>
      </c>
      <c r="BK108" s="1">
        <v>3404</v>
      </c>
      <c r="BL108" s="1">
        <v>4138</v>
      </c>
      <c r="BM108" s="1">
        <v>2306</v>
      </c>
      <c r="BN108" s="1">
        <v>2642</v>
      </c>
      <c r="BO108" s="3">
        <v>44309</v>
      </c>
      <c r="BP108" s="3">
        <f t="shared" si="2"/>
        <v>147472</v>
      </c>
    </row>
    <row r="109" spans="1:69" x14ac:dyDescent="0.2">
      <c r="A109" s="3">
        <v>62</v>
      </c>
      <c r="B109" t="s">
        <v>116</v>
      </c>
      <c r="C109" s="1">
        <v>5</v>
      </c>
      <c r="D109" s="1">
        <v>43</v>
      </c>
      <c r="E109" s="1">
        <v>36</v>
      </c>
      <c r="F109" s="1">
        <v>114</v>
      </c>
      <c r="G109" s="1">
        <v>105</v>
      </c>
      <c r="H109" s="1">
        <v>82</v>
      </c>
      <c r="I109" s="1">
        <v>52</v>
      </c>
      <c r="J109" s="1">
        <v>8</v>
      </c>
      <c r="K109" s="1">
        <v>30</v>
      </c>
      <c r="L109" s="1">
        <v>76</v>
      </c>
      <c r="M109" s="1">
        <v>123</v>
      </c>
      <c r="N109" s="1">
        <v>108</v>
      </c>
      <c r="O109" s="3">
        <v>782</v>
      </c>
      <c r="P109" s="1">
        <v>87</v>
      </c>
      <c r="Q109" s="1">
        <v>88</v>
      </c>
      <c r="R109" s="1">
        <v>229</v>
      </c>
      <c r="S109" s="1">
        <v>998</v>
      </c>
      <c r="T109" s="1">
        <v>1435</v>
      </c>
      <c r="U109" s="1">
        <v>1648</v>
      </c>
      <c r="V109" s="1">
        <v>4401</v>
      </c>
      <c r="W109" s="1">
        <v>3042</v>
      </c>
      <c r="X109" s="1">
        <v>2909</v>
      </c>
      <c r="Y109" s="1">
        <v>3662</v>
      </c>
      <c r="Z109" s="1">
        <v>2227</v>
      </c>
      <c r="AA109" s="1">
        <v>2466</v>
      </c>
      <c r="AB109" s="3">
        <v>23192</v>
      </c>
      <c r="AC109" s="1">
        <v>2250</v>
      </c>
      <c r="AD109" s="1">
        <v>2296</v>
      </c>
      <c r="AE109" s="1">
        <v>2685</v>
      </c>
      <c r="AF109" s="1">
        <v>4140</v>
      </c>
      <c r="AG109" s="1">
        <v>3559</v>
      </c>
      <c r="AH109" s="1">
        <v>3326</v>
      </c>
      <c r="AI109" s="1">
        <v>8739</v>
      </c>
      <c r="AJ109" s="1">
        <v>4595</v>
      </c>
      <c r="AK109" s="1">
        <v>5016</v>
      </c>
      <c r="AL109" s="1">
        <v>5527</v>
      </c>
      <c r="AM109" s="1">
        <v>3317</v>
      </c>
      <c r="AN109" s="1">
        <v>3009</v>
      </c>
      <c r="AO109" s="3">
        <v>48459</v>
      </c>
      <c r="AP109" s="1">
        <v>2550</v>
      </c>
      <c r="AQ109" s="1">
        <v>2979</v>
      </c>
      <c r="AR109" s="1">
        <v>4188</v>
      </c>
      <c r="AS109" s="1">
        <v>5092</v>
      </c>
      <c r="AT109" s="1">
        <v>4558</v>
      </c>
      <c r="AU109" s="1">
        <v>4216</v>
      </c>
      <c r="AV109" s="1">
        <v>10760</v>
      </c>
      <c r="AW109" s="1">
        <v>5127</v>
      </c>
      <c r="AX109" s="1">
        <v>5794</v>
      </c>
      <c r="AY109" s="1">
        <v>5763</v>
      </c>
      <c r="AZ109" s="1">
        <v>3552</v>
      </c>
      <c r="BA109" s="1">
        <v>3549</v>
      </c>
      <c r="BB109" s="3">
        <v>58128</v>
      </c>
      <c r="BC109" s="1">
        <v>2843</v>
      </c>
      <c r="BD109" s="1">
        <v>2867</v>
      </c>
      <c r="BE109" s="1">
        <v>3233</v>
      </c>
      <c r="BF109" s="1">
        <v>5962</v>
      </c>
      <c r="BG109" s="1">
        <v>4751</v>
      </c>
      <c r="BH109" s="1">
        <v>4843</v>
      </c>
      <c r="BI109" s="1">
        <v>11239</v>
      </c>
      <c r="BJ109" s="1">
        <v>5390</v>
      </c>
      <c r="BK109" s="1">
        <v>5919</v>
      </c>
      <c r="BL109" s="1">
        <v>5948</v>
      </c>
      <c r="BM109" s="1">
        <v>3889</v>
      </c>
      <c r="BN109" s="1">
        <v>3732</v>
      </c>
      <c r="BO109" s="3">
        <v>60616</v>
      </c>
      <c r="BP109" s="3">
        <f t="shared" si="2"/>
        <v>191177</v>
      </c>
    </row>
    <row r="110" spans="1:69" x14ac:dyDescent="0.2">
      <c r="A110" s="3">
        <v>63</v>
      </c>
      <c r="B110" t="s">
        <v>117</v>
      </c>
      <c r="C110" s="1">
        <v>2</v>
      </c>
      <c r="D110" s="1">
        <v>15</v>
      </c>
      <c r="E110" s="1">
        <v>15</v>
      </c>
      <c r="F110" s="1">
        <v>27</v>
      </c>
      <c r="G110" s="1">
        <v>33</v>
      </c>
      <c r="H110" s="1">
        <v>47</v>
      </c>
      <c r="I110" s="1">
        <v>40</v>
      </c>
      <c r="J110" s="1">
        <v>19</v>
      </c>
      <c r="K110" s="1">
        <v>40</v>
      </c>
      <c r="L110" s="1">
        <v>83</v>
      </c>
      <c r="M110" s="1">
        <v>79</v>
      </c>
      <c r="N110" s="1">
        <v>76</v>
      </c>
      <c r="O110" s="3">
        <v>476</v>
      </c>
      <c r="P110" s="1">
        <v>46</v>
      </c>
      <c r="Q110" s="1">
        <v>67</v>
      </c>
      <c r="R110" s="1">
        <v>134</v>
      </c>
      <c r="S110" s="1">
        <v>219</v>
      </c>
      <c r="T110" s="1">
        <v>570</v>
      </c>
      <c r="U110" s="1">
        <v>992</v>
      </c>
      <c r="V110" s="1">
        <v>1596</v>
      </c>
      <c r="W110" s="1">
        <v>2285</v>
      </c>
      <c r="X110" s="1">
        <v>2157</v>
      </c>
      <c r="Y110" s="1">
        <v>2216</v>
      </c>
      <c r="Z110" s="1">
        <v>1949</v>
      </c>
      <c r="AA110" s="1">
        <v>2162</v>
      </c>
      <c r="AB110" s="3">
        <v>14393</v>
      </c>
      <c r="AC110" s="1">
        <v>1914</v>
      </c>
      <c r="AD110" s="1">
        <v>1822</v>
      </c>
      <c r="AE110" s="1">
        <v>1988</v>
      </c>
      <c r="AF110" s="1">
        <v>2644</v>
      </c>
      <c r="AG110" s="1">
        <v>2487</v>
      </c>
      <c r="AH110" s="1">
        <v>2485</v>
      </c>
      <c r="AI110" s="1">
        <v>3063</v>
      </c>
      <c r="AJ110" s="1">
        <v>3995</v>
      </c>
      <c r="AK110" s="1">
        <v>3246</v>
      </c>
      <c r="AL110" s="1">
        <v>3101</v>
      </c>
      <c r="AM110" s="1">
        <v>2446</v>
      </c>
      <c r="AN110" s="1">
        <v>2838</v>
      </c>
      <c r="AO110" s="3">
        <v>32029</v>
      </c>
      <c r="AP110" s="1">
        <v>2411</v>
      </c>
      <c r="AQ110" s="1">
        <v>2142</v>
      </c>
      <c r="AR110" s="1">
        <v>2900</v>
      </c>
      <c r="AS110" s="1">
        <v>3048</v>
      </c>
      <c r="AT110" s="1">
        <v>2906</v>
      </c>
      <c r="AU110" s="1">
        <v>2760</v>
      </c>
      <c r="AV110" s="1">
        <v>3414</v>
      </c>
      <c r="AW110" s="1">
        <v>4688</v>
      </c>
      <c r="AX110" s="1">
        <v>3711</v>
      </c>
      <c r="AY110" s="1">
        <v>3429</v>
      </c>
      <c r="AZ110" s="1">
        <v>2631</v>
      </c>
      <c r="BA110" s="1">
        <v>3311</v>
      </c>
      <c r="BB110" s="3">
        <v>37351</v>
      </c>
      <c r="BC110" s="1">
        <v>2955</v>
      </c>
      <c r="BD110" s="1">
        <v>2024</v>
      </c>
      <c r="BE110" s="1">
        <v>2655</v>
      </c>
      <c r="BF110" s="1">
        <v>4064</v>
      </c>
      <c r="BG110" s="1">
        <v>3017</v>
      </c>
      <c r="BH110" s="1">
        <v>3524</v>
      </c>
      <c r="BI110" s="1">
        <v>4393</v>
      </c>
      <c r="BJ110" s="1">
        <v>4871</v>
      </c>
      <c r="BK110" s="1">
        <v>3643</v>
      </c>
      <c r="BL110" s="1">
        <v>3698</v>
      </c>
      <c r="BM110" s="1">
        <v>2907</v>
      </c>
      <c r="BN110" s="1">
        <v>3442</v>
      </c>
      <c r="BO110" s="3">
        <v>41193</v>
      </c>
      <c r="BP110" s="3">
        <f t="shared" si="2"/>
        <v>125442</v>
      </c>
    </row>
    <row r="111" spans="1:69" x14ac:dyDescent="0.2">
      <c r="A111" s="3">
        <v>64</v>
      </c>
      <c r="B111" t="s">
        <v>118</v>
      </c>
      <c r="C111" s="1">
        <v>4</v>
      </c>
      <c r="D111" s="1">
        <v>26</v>
      </c>
      <c r="E111" s="1">
        <v>22</v>
      </c>
      <c r="F111" s="1">
        <v>75</v>
      </c>
      <c r="G111" s="1">
        <v>60</v>
      </c>
      <c r="H111" s="1">
        <v>71</v>
      </c>
      <c r="I111" s="1">
        <v>18</v>
      </c>
      <c r="J111" s="1">
        <v>6</v>
      </c>
      <c r="K111" s="1">
        <v>10</v>
      </c>
      <c r="L111" s="1">
        <v>40</v>
      </c>
      <c r="M111" s="1">
        <v>87</v>
      </c>
      <c r="N111" s="1">
        <v>77</v>
      </c>
      <c r="O111" s="3">
        <v>496</v>
      </c>
      <c r="P111" s="1">
        <v>53</v>
      </c>
      <c r="Q111" s="1">
        <v>63</v>
      </c>
      <c r="R111" s="1">
        <v>103</v>
      </c>
      <c r="S111" s="1">
        <v>229</v>
      </c>
      <c r="T111" s="1">
        <v>357</v>
      </c>
      <c r="U111" s="1">
        <v>527</v>
      </c>
      <c r="V111" s="1">
        <v>835</v>
      </c>
      <c r="W111" s="1">
        <v>720</v>
      </c>
      <c r="X111" s="1">
        <v>945</v>
      </c>
      <c r="Y111" s="1">
        <v>1169</v>
      </c>
      <c r="Z111" s="1">
        <v>1288</v>
      </c>
      <c r="AA111" s="1">
        <v>1318</v>
      </c>
      <c r="AB111" s="3">
        <v>7607</v>
      </c>
      <c r="AC111" s="1">
        <v>1431</v>
      </c>
      <c r="AD111" s="1">
        <v>1837</v>
      </c>
      <c r="AE111" s="1">
        <v>2044</v>
      </c>
      <c r="AF111" s="1">
        <v>1620</v>
      </c>
      <c r="AG111" s="1">
        <v>960</v>
      </c>
      <c r="AH111" s="1">
        <v>1012</v>
      </c>
      <c r="AI111" s="1">
        <v>1476</v>
      </c>
      <c r="AJ111" s="1">
        <v>1094</v>
      </c>
      <c r="AK111" s="1">
        <v>1289</v>
      </c>
      <c r="AL111" s="1">
        <v>1736</v>
      </c>
      <c r="AM111" s="1">
        <v>1897</v>
      </c>
      <c r="AN111" s="1">
        <v>1992</v>
      </c>
      <c r="AO111" s="3">
        <v>18388</v>
      </c>
      <c r="AP111" s="1">
        <v>1785</v>
      </c>
      <c r="AQ111" s="1">
        <v>2468</v>
      </c>
      <c r="AR111" s="1">
        <v>2616</v>
      </c>
      <c r="AS111" s="1">
        <v>1998</v>
      </c>
      <c r="AT111" s="1">
        <v>1166</v>
      </c>
      <c r="AU111" s="1">
        <v>1304</v>
      </c>
      <c r="AV111" s="1">
        <v>1617</v>
      </c>
      <c r="AW111" s="1">
        <v>1442</v>
      </c>
      <c r="AX111" s="1">
        <v>1520</v>
      </c>
      <c r="AY111" s="1">
        <v>2230</v>
      </c>
      <c r="AZ111" s="1">
        <v>2113</v>
      </c>
      <c r="BA111" s="1">
        <v>2471</v>
      </c>
      <c r="BB111" s="3">
        <v>22730</v>
      </c>
      <c r="BC111" s="1">
        <v>2082</v>
      </c>
      <c r="BD111" s="1">
        <v>2769</v>
      </c>
      <c r="BE111" s="1">
        <v>2593</v>
      </c>
      <c r="BF111" s="1">
        <v>2462</v>
      </c>
      <c r="BG111" s="1">
        <v>1356</v>
      </c>
      <c r="BH111" s="1">
        <v>2164</v>
      </c>
      <c r="BI111" s="1">
        <v>2077</v>
      </c>
      <c r="BJ111" s="1">
        <v>1684</v>
      </c>
      <c r="BK111" s="1">
        <v>2137</v>
      </c>
      <c r="BL111" s="1">
        <v>2835</v>
      </c>
      <c r="BM111" s="1">
        <v>2426</v>
      </c>
      <c r="BN111" s="1">
        <v>2624</v>
      </c>
      <c r="BO111" s="3">
        <v>27209</v>
      </c>
      <c r="BP111" s="3">
        <f t="shared" si="2"/>
        <v>76430</v>
      </c>
    </row>
    <row r="112" spans="1:69" x14ac:dyDescent="0.2">
      <c r="A112" s="3">
        <v>65</v>
      </c>
      <c r="B112" t="s">
        <v>119</v>
      </c>
      <c r="C112" s="1">
        <v>1</v>
      </c>
      <c r="D112" s="1">
        <v>28</v>
      </c>
      <c r="E112" s="1">
        <v>15</v>
      </c>
      <c r="F112" s="1">
        <v>40</v>
      </c>
      <c r="G112" s="1">
        <v>35</v>
      </c>
      <c r="H112" s="1">
        <v>42</v>
      </c>
      <c r="I112" s="1">
        <v>15</v>
      </c>
      <c r="J112" s="1">
        <v>1</v>
      </c>
      <c r="K112" s="1">
        <v>12</v>
      </c>
      <c r="L112" s="1">
        <v>36</v>
      </c>
      <c r="M112" s="1">
        <v>45</v>
      </c>
      <c r="N112" s="1">
        <v>21</v>
      </c>
      <c r="O112" s="3">
        <v>291</v>
      </c>
      <c r="P112" s="1">
        <v>59</v>
      </c>
      <c r="Q112" s="1">
        <v>70</v>
      </c>
      <c r="R112" s="1">
        <v>133</v>
      </c>
      <c r="S112" s="1">
        <v>253</v>
      </c>
      <c r="T112" s="1">
        <v>888</v>
      </c>
      <c r="U112" s="1">
        <v>1554</v>
      </c>
      <c r="V112" s="1">
        <v>2270</v>
      </c>
      <c r="W112" s="1">
        <v>2002</v>
      </c>
      <c r="X112" s="1">
        <v>2197</v>
      </c>
      <c r="Y112" s="1">
        <v>2298</v>
      </c>
      <c r="Z112" s="1">
        <v>1694</v>
      </c>
      <c r="AA112" s="1">
        <v>2585</v>
      </c>
      <c r="AB112" s="3">
        <v>16003</v>
      </c>
      <c r="AC112" s="1">
        <v>1906</v>
      </c>
      <c r="AD112" s="1">
        <v>1922</v>
      </c>
      <c r="AE112" s="1">
        <v>2739</v>
      </c>
      <c r="AF112" s="1">
        <v>2694</v>
      </c>
      <c r="AG112" s="1">
        <v>2647</v>
      </c>
      <c r="AH112" s="1">
        <v>3317</v>
      </c>
      <c r="AI112" s="1">
        <v>4273</v>
      </c>
      <c r="AJ112" s="1">
        <v>3645</v>
      </c>
      <c r="AK112" s="1">
        <v>3252</v>
      </c>
      <c r="AL112" s="1">
        <v>2923</v>
      </c>
      <c r="AM112" s="1">
        <v>2252</v>
      </c>
      <c r="AN112" s="1">
        <v>2896</v>
      </c>
      <c r="AO112" s="3">
        <v>34466</v>
      </c>
      <c r="AP112" s="1">
        <v>2352</v>
      </c>
      <c r="AQ112" s="1">
        <v>2363</v>
      </c>
      <c r="AR112" s="1">
        <v>3517</v>
      </c>
      <c r="AS112" s="1">
        <v>2893</v>
      </c>
      <c r="AT112" s="1">
        <v>2962</v>
      </c>
      <c r="AU112" s="1">
        <v>3191</v>
      </c>
      <c r="AV112" s="1">
        <v>4536</v>
      </c>
      <c r="AW112" s="1">
        <v>3773</v>
      </c>
      <c r="AX112" s="1">
        <v>3551</v>
      </c>
      <c r="AY112" s="1">
        <v>3309</v>
      </c>
      <c r="AZ112" s="1">
        <v>2577</v>
      </c>
      <c r="BA112" s="1">
        <v>3648</v>
      </c>
      <c r="BB112" s="3">
        <v>38672</v>
      </c>
      <c r="BC112" s="1">
        <v>2515</v>
      </c>
      <c r="BD112" s="1">
        <v>2262</v>
      </c>
      <c r="BE112" s="1">
        <v>3125</v>
      </c>
      <c r="BF112" s="1">
        <v>3741</v>
      </c>
      <c r="BG112" s="1">
        <v>3331</v>
      </c>
      <c r="BH112" s="1">
        <v>3969</v>
      </c>
      <c r="BI112" s="1">
        <v>4580</v>
      </c>
      <c r="BJ112" s="1">
        <v>3834</v>
      </c>
      <c r="BK112" s="1">
        <v>3405</v>
      </c>
      <c r="BL112" s="1">
        <v>3157</v>
      </c>
      <c r="BM112" s="1">
        <v>2421</v>
      </c>
      <c r="BN112" s="1">
        <v>3267</v>
      </c>
      <c r="BO112" s="3">
        <v>39607</v>
      </c>
      <c r="BP112" s="3">
        <f t="shared" si="2"/>
        <v>129039</v>
      </c>
    </row>
    <row r="113" spans="1:68" x14ac:dyDescent="0.2">
      <c r="A113" s="3">
        <v>66</v>
      </c>
      <c r="B113" t="s">
        <v>120</v>
      </c>
      <c r="C113" s="1">
        <v>13</v>
      </c>
      <c r="D113" s="1">
        <v>34</v>
      </c>
      <c r="E113" s="1">
        <v>77</v>
      </c>
      <c r="F113" s="1">
        <v>96</v>
      </c>
      <c r="G113" s="1">
        <v>86</v>
      </c>
      <c r="H113" s="1">
        <v>105</v>
      </c>
      <c r="I113" s="1">
        <v>42</v>
      </c>
      <c r="J113" s="1">
        <v>17</v>
      </c>
      <c r="K113" s="1">
        <v>28</v>
      </c>
      <c r="L113" s="1">
        <v>78</v>
      </c>
      <c r="M113" s="1">
        <v>119</v>
      </c>
      <c r="N113" s="1">
        <v>103</v>
      </c>
      <c r="O113" s="3">
        <v>798</v>
      </c>
      <c r="P113" s="1">
        <v>112</v>
      </c>
      <c r="Q113" s="1">
        <v>116</v>
      </c>
      <c r="R113" s="1">
        <v>241</v>
      </c>
      <c r="S113" s="1">
        <v>654</v>
      </c>
      <c r="T113" s="1">
        <v>1243</v>
      </c>
      <c r="U113" s="1">
        <v>1800</v>
      </c>
      <c r="V113" s="1">
        <v>4400</v>
      </c>
      <c r="W113" s="1">
        <v>3153</v>
      </c>
      <c r="X113" s="1">
        <v>3635</v>
      </c>
      <c r="Y113" s="1">
        <v>2574</v>
      </c>
      <c r="Z113" s="1">
        <v>1651</v>
      </c>
      <c r="AA113" s="1">
        <v>1541</v>
      </c>
      <c r="AB113" s="3">
        <v>21120</v>
      </c>
      <c r="AC113" s="1">
        <v>1500</v>
      </c>
      <c r="AD113" s="1">
        <v>1710</v>
      </c>
      <c r="AE113" s="1">
        <v>2267</v>
      </c>
      <c r="AF113" s="1">
        <v>2921</v>
      </c>
      <c r="AG113" s="1">
        <v>3553</v>
      </c>
      <c r="AH113" s="1">
        <v>3590</v>
      </c>
      <c r="AI113" s="1">
        <v>8095</v>
      </c>
      <c r="AJ113" s="1">
        <v>4613</v>
      </c>
      <c r="AK113" s="1">
        <v>6169</v>
      </c>
      <c r="AL113" s="1">
        <v>4055</v>
      </c>
      <c r="AM113" s="1">
        <v>2443</v>
      </c>
      <c r="AN113" s="1">
        <v>1972</v>
      </c>
      <c r="AO113" s="3">
        <v>42888</v>
      </c>
      <c r="AP113" s="1">
        <v>1911</v>
      </c>
      <c r="AQ113" s="1">
        <v>2158</v>
      </c>
      <c r="AR113" s="1">
        <v>2848</v>
      </c>
      <c r="AS113" s="1">
        <v>4248</v>
      </c>
      <c r="AT113" s="1">
        <v>4372</v>
      </c>
      <c r="AU113" s="1">
        <v>4870</v>
      </c>
      <c r="AV113" s="1">
        <v>9675</v>
      </c>
      <c r="AW113" s="1">
        <v>5676</v>
      </c>
      <c r="AX113" s="1">
        <v>7060</v>
      </c>
      <c r="AY113" s="1">
        <v>5156</v>
      </c>
      <c r="AZ113" s="1">
        <v>2721</v>
      </c>
      <c r="BA113" s="1">
        <v>2135</v>
      </c>
      <c r="BB113" s="3">
        <v>52830</v>
      </c>
      <c r="BC113" s="1">
        <v>2080</v>
      </c>
      <c r="BD113" s="1">
        <v>2175</v>
      </c>
      <c r="BE113" s="1">
        <v>2636</v>
      </c>
      <c r="BF113" s="1">
        <v>4620</v>
      </c>
      <c r="BG113" s="1">
        <v>4887</v>
      </c>
      <c r="BH113" s="1">
        <v>5006</v>
      </c>
      <c r="BI113" s="1">
        <v>10662</v>
      </c>
      <c r="BJ113" s="1">
        <v>6225</v>
      </c>
      <c r="BK113" s="1">
        <v>7443</v>
      </c>
      <c r="BL113" s="1">
        <v>4840</v>
      </c>
      <c r="BM113" s="1">
        <v>2705</v>
      </c>
      <c r="BN113" s="1">
        <v>2214</v>
      </c>
      <c r="BO113" s="3">
        <v>55493</v>
      </c>
      <c r="BP113" s="3">
        <f t="shared" si="2"/>
        <v>173129</v>
      </c>
    </row>
    <row r="114" spans="1:68" x14ac:dyDescent="0.2">
      <c r="A114" s="3">
        <v>67</v>
      </c>
      <c r="B114" t="s">
        <v>121</v>
      </c>
      <c r="C114" s="1">
        <v>4</v>
      </c>
      <c r="D114" s="1">
        <v>38</v>
      </c>
      <c r="E114" s="1">
        <v>13</v>
      </c>
      <c r="F114" s="1">
        <v>31</v>
      </c>
      <c r="G114" s="1">
        <v>12</v>
      </c>
      <c r="H114" s="1">
        <v>35</v>
      </c>
      <c r="I114" s="1">
        <v>11</v>
      </c>
      <c r="J114" s="1">
        <v>1</v>
      </c>
      <c r="K114" s="1">
        <v>12</v>
      </c>
      <c r="L114" s="1">
        <v>43</v>
      </c>
      <c r="M114" s="1">
        <v>87</v>
      </c>
      <c r="N114" s="1">
        <v>49</v>
      </c>
      <c r="O114" s="3">
        <v>336</v>
      </c>
      <c r="P114" s="1">
        <v>26</v>
      </c>
      <c r="Q114" s="1">
        <v>67</v>
      </c>
      <c r="R114" s="1">
        <v>173</v>
      </c>
      <c r="S114" s="1">
        <v>450</v>
      </c>
      <c r="T114" s="1">
        <v>519</v>
      </c>
      <c r="U114" s="1">
        <v>1109</v>
      </c>
      <c r="V114" s="1">
        <v>1440</v>
      </c>
      <c r="W114" s="1">
        <v>884</v>
      </c>
      <c r="X114" s="1">
        <v>1051</v>
      </c>
      <c r="Y114" s="1">
        <v>1326</v>
      </c>
      <c r="Z114" s="1">
        <v>1498</v>
      </c>
      <c r="AA114" s="1">
        <v>1526</v>
      </c>
      <c r="AB114" s="3">
        <v>10069</v>
      </c>
      <c r="AC114" s="1">
        <v>1669</v>
      </c>
      <c r="AD114" s="1">
        <v>1795</v>
      </c>
      <c r="AE114" s="1">
        <v>2146</v>
      </c>
      <c r="AF114" s="1">
        <v>1499</v>
      </c>
      <c r="AG114" s="1">
        <v>853</v>
      </c>
      <c r="AH114" s="1">
        <v>2205</v>
      </c>
      <c r="AI114" s="1">
        <v>2593</v>
      </c>
      <c r="AJ114" s="1">
        <v>978</v>
      </c>
      <c r="AK114" s="1">
        <v>1343</v>
      </c>
      <c r="AL114" s="1">
        <v>1464</v>
      </c>
      <c r="AM114" s="1">
        <v>1478</v>
      </c>
      <c r="AN114" s="1">
        <v>1554</v>
      </c>
      <c r="AO114" s="3">
        <v>19577</v>
      </c>
      <c r="AP114" s="1">
        <v>1769</v>
      </c>
      <c r="AQ114" s="1">
        <v>2114</v>
      </c>
      <c r="AR114" s="1">
        <v>2507</v>
      </c>
      <c r="AS114" s="1">
        <v>1468</v>
      </c>
      <c r="AT114" s="1">
        <v>1021</v>
      </c>
      <c r="AU114" s="1">
        <v>1988</v>
      </c>
      <c r="AV114" s="1">
        <v>3110</v>
      </c>
      <c r="AW114" s="1">
        <v>1259</v>
      </c>
      <c r="AX114" s="1">
        <v>1581</v>
      </c>
      <c r="AY114" s="1">
        <v>1727</v>
      </c>
      <c r="AZ114" s="1">
        <v>1596</v>
      </c>
      <c r="BA114" s="1">
        <v>2025</v>
      </c>
      <c r="BB114" s="3">
        <v>22165</v>
      </c>
      <c r="BC114" s="1">
        <v>1809</v>
      </c>
      <c r="BD114" s="1">
        <v>2095</v>
      </c>
      <c r="BE114" s="1">
        <v>2249</v>
      </c>
      <c r="BF114" s="1">
        <v>2125</v>
      </c>
      <c r="BG114" s="1">
        <v>1146</v>
      </c>
      <c r="BH114" s="1">
        <v>2480</v>
      </c>
      <c r="BI114" s="1">
        <v>3421</v>
      </c>
      <c r="BJ114" s="1">
        <v>1404</v>
      </c>
      <c r="BK114" s="1">
        <v>1725</v>
      </c>
      <c r="BL114" s="1">
        <v>1895</v>
      </c>
      <c r="BM114" s="1">
        <v>1522</v>
      </c>
      <c r="BN114" s="1">
        <v>1850</v>
      </c>
      <c r="BO114" s="3">
        <v>23721</v>
      </c>
      <c r="BP114" s="3">
        <f t="shared" si="2"/>
        <v>75868</v>
      </c>
    </row>
    <row r="115" spans="1:68" x14ac:dyDescent="0.2">
      <c r="A115" s="3">
        <v>68</v>
      </c>
      <c r="B115" t="s">
        <v>122</v>
      </c>
      <c r="C115" s="1">
        <v>8</v>
      </c>
      <c r="D115" s="1">
        <v>37</v>
      </c>
      <c r="E115" s="1">
        <v>35</v>
      </c>
      <c r="F115" s="1">
        <v>57</v>
      </c>
      <c r="G115" s="1">
        <v>87</v>
      </c>
      <c r="H115" s="1">
        <v>56</v>
      </c>
      <c r="I115" s="1">
        <v>22</v>
      </c>
      <c r="J115" s="1">
        <v>4</v>
      </c>
      <c r="K115" s="1">
        <v>19</v>
      </c>
      <c r="L115" s="1">
        <v>58</v>
      </c>
      <c r="M115" s="1">
        <v>61</v>
      </c>
      <c r="N115" s="1">
        <v>66</v>
      </c>
      <c r="O115" s="3">
        <v>510</v>
      </c>
      <c r="P115" s="1">
        <v>76</v>
      </c>
      <c r="Q115" s="1">
        <v>71</v>
      </c>
      <c r="R115" s="1">
        <v>134</v>
      </c>
      <c r="S115" s="1">
        <v>243</v>
      </c>
      <c r="T115" s="1">
        <v>501</v>
      </c>
      <c r="U115" s="1">
        <v>704</v>
      </c>
      <c r="V115" s="1">
        <v>886</v>
      </c>
      <c r="W115" s="1">
        <v>1372</v>
      </c>
      <c r="X115" s="1">
        <v>1303</v>
      </c>
      <c r="Y115" s="1">
        <v>1466</v>
      </c>
      <c r="Z115" s="1">
        <v>1254</v>
      </c>
      <c r="AA115" s="1">
        <v>1886</v>
      </c>
      <c r="AB115" s="3">
        <v>9896</v>
      </c>
      <c r="AC115" s="1">
        <v>1630</v>
      </c>
      <c r="AD115" s="1">
        <v>1737</v>
      </c>
      <c r="AE115" s="1">
        <v>1806</v>
      </c>
      <c r="AF115" s="1">
        <v>2311</v>
      </c>
      <c r="AG115" s="1">
        <v>1974</v>
      </c>
      <c r="AH115" s="1">
        <v>1959</v>
      </c>
      <c r="AI115" s="1">
        <v>1851</v>
      </c>
      <c r="AJ115" s="1">
        <v>2551</v>
      </c>
      <c r="AK115" s="1">
        <v>2338</v>
      </c>
      <c r="AL115" s="1">
        <v>2461</v>
      </c>
      <c r="AM115" s="1">
        <v>1657</v>
      </c>
      <c r="AN115" s="1">
        <v>2756</v>
      </c>
      <c r="AO115" s="3">
        <v>25031</v>
      </c>
      <c r="AP115" s="1">
        <v>1930</v>
      </c>
      <c r="AQ115" s="1">
        <v>2101</v>
      </c>
      <c r="AR115" s="1">
        <v>1924</v>
      </c>
      <c r="AS115" s="1">
        <v>2916</v>
      </c>
      <c r="AT115" s="1">
        <v>1921</v>
      </c>
      <c r="AU115" s="1">
        <v>1749</v>
      </c>
      <c r="AV115" s="1">
        <v>1878</v>
      </c>
      <c r="AW115" s="1">
        <v>2762</v>
      </c>
      <c r="AX115" s="1">
        <v>2499</v>
      </c>
      <c r="AY115" s="1">
        <v>2539</v>
      </c>
      <c r="AZ115" s="1">
        <v>1647</v>
      </c>
      <c r="BA115" s="1">
        <v>3165</v>
      </c>
      <c r="BB115" s="3">
        <v>27031</v>
      </c>
      <c r="BC115" s="1">
        <v>2138</v>
      </c>
      <c r="BD115" s="1">
        <v>2123</v>
      </c>
      <c r="BE115" s="1">
        <v>1869</v>
      </c>
      <c r="BF115" s="1">
        <v>2665</v>
      </c>
      <c r="BG115" s="1">
        <v>2237</v>
      </c>
      <c r="BH115" s="1">
        <v>2248</v>
      </c>
      <c r="BI115" s="1">
        <v>1908</v>
      </c>
      <c r="BJ115" s="1">
        <v>2804</v>
      </c>
      <c r="BK115" s="1">
        <v>2776</v>
      </c>
      <c r="BL115" s="1">
        <v>2359</v>
      </c>
      <c r="BM115" s="1">
        <v>1508</v>
      </c>
      <c r="BN115" s="1">
        <v>2556</v>
      </c>
      <c r="BO115" s="3">
        <v>27191</v>
      </c>
      <c r="BP115" s="3">
        <f t="shared" si="2"/>
        <v>89659</v>
      </c>
    </row>
    <row r="116" spans="1:68" x14ac:dyDescent="0.2">
      <c r="A116" s="3">
        <v>69</v>
      </c>
      <c r="B116" t="s">
        <v>123</v>
      </c>
      <c r="C116" s="1">
        <v>78</v>
      </c>
      <c r="D116" s="1">
        <v>112</v>
      </c>
      <c r="E116" s="1">
        <v>87</v>
      </c>
      <c r="F116" s="1">
        <v>179</v>
      </c>
      <c r="G116" s="1">
        <v>230</v>
      </c>
      <c r="H116" s="1">
        <v>254</v>
      </c>
      <c r="I116" s="1">
        <v>223</v>
      </c>
      <c r="J116" s="1">
        <v>221</v>
      </c>
      <c r="K116" s="1">
        <v>192</v>
      </c>
      <c r="L116" s="1">
        <v>151</v>
      </c>
      <c r="M116" s="1">
        <v>242</v>
      </c>
      <c r="N116" s="1">
        <v>134</v>
      </c>
      <c r="O116" s="3">
        <v>2103</v>
      </c>
      <c r="P116" s="1">
        <v>316</v>
      </c>
      <c r="Q116" s="1">
        <v>524</v>
      </c>
      <c r="R116" s="1">
        <v>437</v>
      </c>
      <c r="S116" s="1">
        <v>547</v>
      </c>
      <c r="T116" s="1">
        <v>1211</v>
      </c>
      <c r="U116" s="1">
        <v>1301</v>
      </c>
      <c r="V116" s="1">
        <v>2493</v>
      </c>
      <c r="W116" s="1">
        <v>2415</v>
      </c>
      <c r="X116" s="1">
        <v>2362</v>
      </c>
      <c r="Y116" s="1">
        <v>2274</v>
      </c>
      <c r="Z116" s="1">
        <v>1937</v>
      </c>
      <c r="AA116" s="1">
        <v>1891</v>
      </c>
      <c r="AB116" s="3">
        <v>17708</v>
      </c>
      <c r="AC116" s="1">
        <v>1905</v>
      </c>
      <c r="AD116" s="1">
        <v>1919</v>
      </c>
      <c r="AE116" s="1">
        <v>2317</v>
      </c>
      <c r="AF116" s="1">
        <v>2318</v>
      </c>
      <c r="AG116" s="1">
        <v>2917</v>
      </c>
      <c r="AH116" s="1">
        <v>2503</v>
      </c>
      <c r="AI116" s="1">
        <v>4475</v>
      </c>
      <c r="AJ116" s="1">
        <v>4552</v>
      </c>
      <c r="AK116" s="1">
        <v>3636</v>
      </c>
      <c r="AL116" s="1">
        <v>3417</v>
      </c>
      <c r="AM116" s="1">
        <v>2203</v>
      </c>
      <c r="AN116" s="1">
        <v>2822</v>
      </c>
      <c r="AO116" s="3">
        <v>34984</v>
      </c>
      <c r="AP116" s="1">
        <v>2229</v>
      </c>
      <c r="AQ116" s="1">
        <v>2615</v>
      </c>
      <c r="AR116" s="1">
        <v>2853</v>
      </c>
      <c r="AS116" s="1">
        <v>3449</v>
      </c>
      <c r="AT116" s="1">
        <v>3456</v>
      </c>
      <c r="AU116" s="1">
        <v>2538</v>
      </c>
      <c r="AV116" s="1">
        <v>5137</v>
      </c>
      <c r="AW116" s="1">
        <v>4393</v>
      </c>
      <c r="AX116" s="1">
        <v>3757</v>
      </c>
      <c r="AY116" s="1">
        <v>3183</v>
      </c>
      <c r="AZ116" s="1">
        <v>2456</v>
      </c>
      <c r="BA116" s="1">
        <v>2163</v>
      </c>
      <c r="BB116" s="3">
        <v>38229</v>
      </c>
      <c r="BC116" s="1">
        <v>1902</v>
      </c>
      <c r="BD116" s="1">
        <v>2134</v>
      </c>
      <c r="BE116" s="1">
        <v>2101</v>
      </c>
      <c r="BF116" s="1">
        <v>2488</v>
      </c>
      <c r="BG116" s="1">
        <v>2587</v>
      </c>
      <c r="BH116" s="1">
        <v>2603</v>
      </c>
      <c r="BI116" s="1">
        <v>5019</v>
      </c>
      <c r="BJ116" s="1">
        <v>4380</v>
      </c>
      <c r="BK116" s="1">
        <v>3573</v>
      </c>
      <c r="BL116" s="1">
        <v>2896</v>
      </c>
      <c r="BM116" s="1">
        <v>2208</v>
      </c>
      <c r="BN116" s="1">
        <v>2204</v>
      </c>
      <c r="BO116" s="3">
        <v>34095</v>
      </c>
      <c r="BP116" s="3">
        <f t="shared" si="2"/>
        <v>127119</v>
      </c>
    </row>
    <row r="117" spans="1:68" x14ac:dyDescent="0.2">
      <c r="A117" s="3">
        <v>70</v>
      </c>
      <c r="B117" t="s">
        <v>124</v>
      </c>
      <c r="C117" s="1">
        <v>5</v>
      </c>
      <c r="D117" s="1">
        <v>11</v>
      </c>
      <c r="E117" s="1">
        <v>8</v>
      </c>
      <c r="F117" s="1">
        <v>36</v>
      </c>
      <c r="G117" s="1">
        <v>18</v>
      </c>
      <c r="H117" s="1">
        <v>34</v>
      </c>
      <c r="I117" s="1">
        <v>13</v>
      </c>
      <c r="J117" s="1">
        <v>2</v>
      </c>
      <c r="K117" s="1">
        <v>2</v>
      </c>
      <c r="L117" s="1">
        <v>26</v>
      </c>
      <c r="M117" s="1">
        <v>43</v>
      </c>
      <c r="N117" s="1">
        <v>20</v>
      </c>
      <c r="O117" s="3">
        <v>218</v>
      </c>
      <c r="P117" s="1">
        <v>43</v>
      </c>
      <c r="Q117" s="1">
        <v>54</v>
      </c>
      <c r="R117" s="1">
        <v>93</v>
      </c>
      <c r="S117" s="1">
        <v>236</v>
      </c>
      <c r="T117" s="1">
        <v>354</v>
      </c>
      <c r="U117" s="1">
        <v>541</v>
      </c>
      <c r="V117" s="1">
        <v>601</v>
      </c>
      <c r="W117" s="1">
        <v>790</v>
      </c>
      <c r="X117" s="1">
        <v>812</v>
      </c>
      <c r="Y117" s="1">
        <v>1203</v>
      </c>
      <c r="Z117" s="1">
        <v>747</v>
      </c>
      <c r="AA117" s="1">
        <v>910</v>
      </c>
      <c r="AB117" s="3">
        <v>6384</v>
      </c>
      <c r="AC117" s="1">
        <v>1275</v>
      </c>
      <c r="AD117" s="1">
        <v>1408</v>
      </c>
      <c r="AE117" s="1">
        <v>1551</v>
      </c>
      <c r="AF117" s="1">
        <v>1391</v>
      </c>
      <c r="AG117" s="1">
        <v>1301</v>
      </c>
      <c r="AH117" s="1">
        <v>1194</v>
      </c>
      <c r="AI117" s="1">
        <v>1273</v>
      </c>
      <c r="AJ117" s="1">
        <v>1212</v>
      </c>
      <c r="AK117" s="1">
        <v>1571</v>
      </c>
      <c r="AL117" s="1">
        <v>2031</v>
      </c>
      <c r="AM117" s="1">
        <v>1205</v>
      </c>
      <c r="AN117" s="1">
        <v>1277</v>
      </c>
      <c r="AO117" s="3">
        <v>16689</v>
      </c>
      <c r="AP117" s="1">
        <v>1456</v>
      </c>
      <c r="AQ117" s="1">
        <v>1621</v>
      </c>
      <c r="AR117" s="1">
        <v>2192</v>
      </c>
      <c r="AS117" s="1">
        <v>1707</v>
      </c>
      <c r="AT117" s="1">
        <v>1472</v>
      </c>
      <c r="AU117" s="1">
        <v>1108</v>
      </c>
      <c r="AV117" s="1">
        <v>1413</v>
      </c>
      <c r="AW117" s="1">
        <v>1273</v>
      </c>
      <c r="AX117" s="1">
        <v>1716</v>
      </c>
      <c r="AY117" s="1">
        <v>2318</v>
      </c>
      <c r="AZ117" s="1">
        <v>1377</v>
      </c>
      <c r="BA117" s="1">
        <v>1575</v>
      </c>
      <c r="BB117" s="3">
        <v>19228</v>
      </c>
      <c r="BC117" s="1">
        <v>1640</v>
      </c>
      <c r="BD117" s="1">
        <v>1819</v>
      </c>
      <c r="BE117" s="1">
        <v>1922</v>
      </c>
      <c r="BF117" s="1">
        <v>2146</v>
      </c>
      <c r="BG117" s="1">
        <v>1472</v>
      </c>
      <c r="BH117" s="1">
        <v>1820</v>
      </c>
      <c r="BI117" s="1">
        <v>1666</v>
      </c>
      <c r="BJ117" s="1">
        <v>1465</v>
      </c>
      <c r="BK117" s="1">
        <v>1736</v>
      </c>
      <c r="BL117" s="1">
        <v>2622</v>
      </c>
      <c r="BM117" s="1">
        <v>1367</v>
      </c>
      <c r="BN117" s="1">
        <v>1367</v>
      </c>
      <c r="BO117" s="3">
        <v>21042</v>
      </c>
      <c r="BP117" s="3">
        <f t="shared" si="2"/>
        <v>63561</v>
      </c>
    </row>
    <row r="118" spans="1:68" x14ac:dyDescent="0.2">
      <c r="A118" s="3">
        <v>71</v>
      </c>
      <c r="B118" t="s">
        <v>125</v>
      </c>
      <c r="C118" s="1">
        <v>0</v>
      </c>
      <c r="D118" s="1">
        <v>20</v>
      </c>
      <c r="E118" s="1">
        <v>20</v>
      </c>
      <c r="F118" s="1">
        <v>22</v>
      </c>
      <c r="G118" s="1">
        <v>18</v>
      </c>
      <c r="H118" s="1">
        <v>19</v>
      </c>
      <c r="I118" s="1">
        <v>4</v>
      </c>
      <c r="J118" s="1">
        <v>4</v>
      </c>
      <c r="K118" s="1">
        <v>11</v>
      </c>
      <c r="L118" s="1">
        <v>41</v>
      </c>
      <c r="M118" s="1">
        <v>48</v>
      </c>
      <c r="N118" s="1">
        <v>33</v>
      </c>
      <c r="O118" s="3">
        <v>240</v>
      </c>
      <c r="P118" s="1">
        <v>39</v>
      </c>
      <c r="Q118" s="1">
        <v>22</v>
      </c>
      <c r="R118" s="1">
        <v>82</v>
      </c>
      <c r="S118" s="1">
        <v>217</v>
      </c>
      <c r="T118" s="1">
        <v>276</v>
      </c>
      <c r="U118" s="1">
        <v>383</v>
      </c>
      <c r="V118" s="1">
        <v>372</v>
      </c>
      <c r="W118" s="1">
        <v>336</v>
      </c>
      <c r="X118" s="1">
        <v>617</v>
      </c>
      <c r="Y118" s="1">
        <v>871</v>
      </c>
      <c r="Z118" s="1">
        <v>998</v>
      </c>
      <c r="AA118" s="1">
        <v>1267</v>
      </c>
      <c r="AB118" s="3">
        <v>5480</v>
      </c>
      <c r="AC118" s="1">
        <v>1271</v>
      </c>
      <c r="AD118" s="1">
        <v>1338</v>
      </c>
      <c r="AE118" s="1">
        <v>1207</v>
      </c>
      <c r="AF118" s="1">
        <v>891</v>
      </c>
      <c r="AG118" s="1">
        <v>720</v>
      </c>
      <c r="AH118" s="1">
        <v>723</v>
      </c>
      <c r="AI118" s="1">
        <v>590</v>
      </c>
      <c r="AJ118" s="1">
        <v>615</v>
      </c>
      <c r="AK118" s="1">
        <v>869</v>
      </c>
      <c r="AL118" s="1">
        <v>1317</v>
      </c>
      <c r="AM118" s="1">
        <v>1248</v>
      </c>
      <c r="AN118" s="1">
        <v>1556</v>
      </c>
      <c r="AO118" s="3">
        <v>12345</v>
      </c>
      <c r="AP118" s="1">
        <v>1709</v>
      </c>
      <c r="AQ118" s="1">
        <v>1875</v>
      </c>
      <c r="AR118" s="1">
        <v>1613</v>
      </c>
      <c r="AS118" s="1">
        <v>1140</v>
      </c>
      <c r="AT118" s="1">
        <v>815</v>
      </c>
      <c r="AU118" s="1">
        <v>840</v>
      </c>
      <c r="AV118" s="1">
        <v>580</v>
      </c>
      <c r="AW118" s="1">
        <v>550</v>
      </c>
      <c r="AX118" s="1">
        <v>957</v>
      </c>
      <c r="AY118" s="1">
        <v>1543</v>
      </c>
      <c r="AZ118" s="1">
        <v>1340</v>
      </c>
      <c r="BA118" s="1">
        <v>1898</v>
      </c>
      <c r="BB118" s="3">
        <v>14860</v>
      </c>
      <c r="BC118" s="1">
        <v>1782</v>
      </c>
      <c r="BD118" s="1">
        <v>1718</v>
      </c>
      <c r="BE118" s="1">
        <v>1528</v>
      </c>
      <c r="BF118" s="1">
        <v>1167</v>
      </c>
      <c r="BG118" s="1">
        <v>800</v>
      </c>
      <c r="BH118" s="1">
        <v>977</v>
      </c>
      <c r="BI118" s="1">
        <v>653</v>
      </c>
      <c r="BJ118" s="1">
        <v>607</v>
      </c>
      <c r="BK118" s="1">
        <v>942</v>
      </c>
      <c r="BL118" s="1">
        <v>1509</v>
      </c>
      <c r="BM118" s="1">
        <v>1347</v>
      </c>
      <c r="BN118" s="1">
        <v>1352</v>
      </c>
      <c r="BO118" s="3">
        <v>14382</v>
      </c>
      <c r="BP118" s="3">
        <f t="shared" si="2"/>
        <v>47307</v>
      </c>
    </row>
    <row r="119" spans="1:68" x14ac:dyDescent="0.2">
      <c r="A119" s="3">
        <v>72</v>
      </c>
      <c r="B119" t="s">
        <v>126</v>
      </c>
      <c r="C119" s="1">
        <v>0</v>
      </c>
      <c r="D119" s="1">
        <v>42</v>
      </c>
      <c r="E119" s="1">
        <v>30</v>
      </c>
      <c r="F119" s="1">
        <v>66</v>
      </c>
      <c r="G119" s="1">
        <v>78</v>
      </c>
      <c r="H119" s="1">
        <v>44</v>
      </c>
      <c r="I119" s="1">
        <v>14</v>
      </c>
      <c r="J119" s="1">
        <v>2</v>
      </c>
      <c r="K119" s="1">
        <v>11</v>
      </c>
      <c r="L119" s="1">
        <v>41</v>
      </c>
      <c r="M119" s="1">
        <v>106</v>
      </c>
      <c r="N119" s="1">
        <v>183</v>
      </c>
      <c r="O119" s="3">
        <v>617</v>
      </c>
      <c r="P119" s="1">
        <v>105</v>
      </c>
      <c r="Q119" s="1">
        <v>97</v>
      </c>
      <c r="R119" s="1">
        <v>156</v>
      </c>
      <c r="S119" s="1">
        <v>216</v>
      </c>
      <c r="T119" s="1">
        <v>159</v>
      </c>
      <c r="U119" s="1">
        <v>159</v>
      </c>
      <c r="V119" s="1">
        <v>158</v>
      </c>
      <c r="W119" s="1">
        <v>227</v>
      </c>
      <c r="X119" s="1">
        <v>263</v>
      </c>
      <c r="Y119" s="1">
        <v>395</v>
      </c>
      <c r="Z119" s="1">
        <v>645</v>
      </c>
      <c r="AA119" s="1">
        <v>696</v>
      </c>
      <c r="AB119" s="3">
        <v>3276</v>
      </c>
      <c r="AC119" s="1">
        <v>1008</v>
      </c>
      <c r="AD119" s="1">
        <v>911</v>
      </c>
      <c r="AE119" s="1">
        <v>681</v>
      </c>
      <c r="AF119" s="1">
        <v>522</v>
      </c>
      <c r="AG119" s="1">
        <v>473</v>
      </c>
      <c r="AH119" s="1">
        <v>473</v>
      </c>
      <c r="AI119" s="1">
        <v>541</v>
      </c>
      <c r="AJ119" s="1">
        <v>487</v>
      </c>
      <c r="AK119" s="1">
        <v>589</v>
      </c>
      <c r="AL119" s="1">
        <v>604</v>
      </c>
      <c r="AM119" s="1">
        <v>639</v>
      </c>
      <c r="AN119" s="1">
        <v>772</v>
      </c>
      <c r="AO119" s="3">
        <v>7700</v>
      </c>
      <c r="AP119" s="1">
        <v>965</v>
      </c>
      <c r="AQ119" s="1">
        <v>948</v>
      </c>
      <c r="AR119" s="1">
        <v>899</v>
      </c>
      <c r="AS119" s="1">
        <v>667</v>
      </c>
      <c r="AT119" s="1">
        <v>695</v>
      </c>
      <c r="AU119" s="1">
        <v>525</v>
      </c>
      <c r="AV119" s="1">
        <v>575</v>
      </c>
      <c r="AW119" s="1">
        <v>605</v>
      </c>
      <c r="AX119" s="1">
        <v>629</v>
      </c>
      <c r="AY119" s="1">
        <v>784</v>
      </c>
      <c r="AZ119" s="1">
        <v>801</v>
      </c>
      <c r="BA119" s="1">
        <v>860</v>
      </c>
      <c r="BB119" s="3">
        <v>8953</v>
      </c>
      <c r="BC119" s="1">
        <v>1342</v>
      </c>
      <c r="BD119" s="1">
        <v>1175</v>
      </c>
      <c r="BE119" s="1">
        <v>1096</v>
      </c>
      <c r="BF119" s="1">
        <v>708</v>
      </c>
      <c r="BG119" s="1">
        <v>686</v>
      </c>
      <c r="BH119" s="1">
        <v>815</v>
      </c>
      <c r="BI119" s="1">
        <v>707</v>
      </c>
      <c r="BJ119" s="1">
        <v>720</v>
      </c>
      <c r="BK119" s="1">
        <v>751</v>
      </c>
      <c r="BL119" s="1">
        <v>728</v>
      </c>
      <c r="BM119" s="1">
        <v>821</v>
      </c>
      <c r="BN119" s="1">
        <v>906</v>
      </c>
      <c r="BO119" s="3">
        <v>10455</v>
      </c>
      <c r="BP119" s="3">
        <f t="shared" si="2"/>
        <v>31001</v>
      </c>
    </row>
    <row r="120" spans="1:68" x14ac:dyDescent="0.2">
      <c r="A120" s="3">
        <v>73</v>
      </c>
      <c r="B120" t="s">
        <v>127</v>
      </c>
      <c r="C120" s="1">
        <v>2</v>
      </c>
      <c r="D120" s="1">
        <v>23</v>
      </c>
      <c r="E120" s="1">
        <v>15</v>
      </c>
      <c r="F120" s="1">
        <v>14</v>
      </c>
      <c r="G120" s="1">
        <v>22</v>
      </c>
      <c r="H120" s="1">
        <v>12</v>
      </c>
      <c r="I120" s="1">
        <v>11</v>
      </c>
      <c r="J120" s="1">
        <v>1</v>
      </c>
      <c r="K120" s="1">
        <v>6</v>
      </c>
      <c r="L120" s="1">
        <v>17</v>
      </c>
      <c r="M120" s="1">
        <v>50</v>
      </c>
      <c r="N120" s="1">
        <v>31</v>
      </c>
      <c r="O120" s="3">
        <v>204</v>
      </c>
      <c r="P120" s="1">
        <v>39</v>
      </c>
      <c r="Q120" s="1">
        <v>31</v>
      </c>
      <c r="R120" s="1">
        <v>51</v>
      </c>
      <c r="S120" s="1">
        <v>91</v>
      </c>
      <c r="T120" s="1">
        <v>219</v>
      </c>
      <c r="U120" s="1">
        <v>281</v>
      </c>
      <c r="V120" s="1">
        <v>332</v>
      </c>
      <c r="W120" s="1">
        <v>424</v>
      </c>
      <c r="X120" s="1">
        <v>479</v>
      </c>
      <c r="Y120" s="1">
        <v>654</v>
      </c>
      <c r="Z120" s="1">
        <v>680</v>
      </c>
      <c r="AA120" s="1">
        <v>810</v>
      </c>
      <c r="AB120" s="3">
        <v>4091</v>
      </c>
      <c r="AC120" s="1">
        <v>1051</v>
      </c>
      <c r="AD120" s="1">
        <v>1392</v>
      </c>
      <c r="AE120" s="1">
        <v>1087</v>
      </c>
      <c r="AF120" s="1">
        <v>847</v>
      </c>
      <c r="AG120" s="1">
        <v>564</v>
      </c>
      <c r="AH120" s="1">
        <v>538</v>
      </c>
      <c r="AI120" s="1">
        <v>534</v>
      </c>
      <c r="AJ120" s="1">
        <v>554</v>
      </c>
      <c r="AK120" s="1">
        <v>659</v>
      </c>
      <c r="AL120" s="1">
        <v>867</v>
      </c>
      <c r="AM120" s="1">
        <v>635</v>
      </c>
      <c r="AN120" s="1">
        <v>708</v>
      </c>
      <c r="AO120" s="3">
        <v>9436</v>
      </c>
      <c r="AP120" s="1">
        <v>783</v>
      </c>
      <c r="AQ120" s="1">
        <v>1000</v>
      </c>
      <c r="AR120" s="1">
        <v>1129</v>
      </c>
      <c r="AS120" s="1">
        <v>736</v>
      </c>
      <c r="AT120" s="1">
        <v>592</v>
      </c>
      <c r="AU120" s="1">
        <v>570</v>
      </c>
      <c r="AV120" s="1">
        <v>655</v>
      </c>
      <c r="AW120" s="1">
        <v>525</v>
      </c>
      <c r="AX120" s="1">
        <v>567</v>
      </c>
      <c r="AY120" s="1">
        <v>746</v>
      </c>
      <c r="AZ120" s="1">
        <v>694</v>
      </c>
      <c r="BA120" s="1">
        <v>797</v>
      </c>
      <c r="BB120" s="3">
        <v>8794</v>
      </c>
      <c r="BC120" s="1">
        <v>954</v>
      </c>
      <c r="BD120" s="1">
        <v>1106</v>
      </c>
      <c r="BE120" s="1">
        <v>1008</v>
      </c>
      <c r="BF120" s="1">
        <v>747</v>
      </c>
      <c r="BG120" s="1">
        <v>599</v>
      </c>
      <c r="BH120" s="1">
        <v>678</v>
      </c>
      <c r="BI120" s="1">
        <v>629</v>
      </c>
      <c r="BJ120" s="1">
        <v>544</v>
      </c>
      <c r="BK120" s="1">
        <v>773</v>
      </c>
      <c r="BL120" s="1">
        <v>964</v>
      </c>
      <c r="BM120" s="1">
        <v>935</v>
      </c>
      <c r="BN120" s="1">
        <v>879</v>
      </c>
      <c r="BO120" s="3">
        <v>9816</v>
      </c>
      <c r="BP120" s="3">
        <f t="shared" si="2"/>
        <v>32341</v>
      </c>
    </row>
    <row r="121" spans="1:68" x14ac:dyDescent="0.2">
      <c r="A121" s="3">
        <v>74</v>
      </c>
      <c r="B121" t="s">
        <v>128</v>
      </c>
      <c r="C121" s="1">
        <v>0</v>
      </c>
      <c r="D121" s="1">
        <v>9</v>
      </c>
      <c r="E121" s="1">
        <v>5</v>
      </c>
      <c r="F121" s="1">
        <v>19</v>
      </c>
      <c r="G121" s="1">
        <v>19</v>
      </c>
      <c r="H121" s="1">
        <v>25</v>
      </c>
      <c r="I121" s="1">
        <v>11</v>
      </c>
      <c r="J121" s="1">
        <v>2</v>
      </c>
      <c r="K121" s="1">
        <v>0</v>
      </c>
      <c r="L121" s="1">
        <v>13</v>
      </c>
      <c r="M121" s="1">
        <v>32</v>
      </c>
      <c r="N121" s="1">
        <v>17</v>
      </c>
      <c r="O121" s="3">
        <v>152</v>
      </c>
      <c r="P121" s="1">
        <v>16</v>
      </c>
      <c r="Q121" s="1">
        <v>24</v>
      </c>
      <c r="R121" s="1">
        <v>36</v>
      </c>
      <c r="S121" s="1">
        <v>107</v>
      </c>
      <c r="T121" s="1">
        <v>184</v>
      </c>
      <c r="U121" s="1">
        <v>244</v>
      </c>
      <c r="V121" s="1">
        <v>348</v>
      </c>
      <c r="W121" s="1">
        <v>374</v>
      </c>
      <c r="X121" s="1">
        <v>360</v>
      </c>
      <c r="Y121" s="1">
        <v>438</v>
      </c>
      <c r="Z121" s="1">
        <v>453</v>
      </c>
      <c r="AA121" s="1">
        <v>462</v>
      </c>
      <c r="AB121" s="3">
        <v>3046</v>
      </c>
      <c r="AC121" s="1">
        <v>501</v>
      </c>
      <c r="AD121" s="1">
        <v>744</v>
      </c>
      <c r="AE121" s="1">
        <v>639</v>
      </c>
      <c r="AF121" s="1">
        <v>749</v>
      </c>
      <c r="AG121" s="1">
        <v>552</v>
      </c>
      <c r="AH121" s="1">
        <v>493</v>
      </c>
      <c r="AI121" s="1">
        <v>591</v>
      </c>
      <c r="AJ121" s="1">
        <v>578</v>
      </c>
      <c r="AK121" s="1">
        <v>592</v>
      </c>
      <c r="AL121" s="1">
        <v>737</v>
      </c>
      <c r="AM121" s="1">
        <v>677</v>
      </c>
      <c r="AN121" s="1">
        <v>650</v>
      </c>
      <c r="AO121" s="3">
        <v>7503</v>
      </c>
      <c r="AP121" s="1">
        <v>702</v>
      </c>
      <c r="AQ121" s="1">
        <v>784</v>
      </c>
      <c r="AR121" s="1">
        <v>1015</v>
      </c>
      <c r="AS121" s="1">
        <v>880</v>
      </c>
      <c r="AT121" s="1">
        <v>724</v>
      </c>
      <c r="AU121" s="1">
        <v>615</v>
      </c>
      <c r="AV121" s="1">
        <v>617</v>
      </c>
      <c r="AW121" s="1">
        <v>650</v>
      </c>
      <c r="AX121" s="1">
        <v>692</v>
      </c>
      <c r="AY121" s="1">
        <v>860</v>
      </c>
      <c r="AZ121" s="1">
        <v>779</v>
      </c>
      <c r="BA121" s="1">
        <v>829</v>
      </c>
      <c r="BB121" s="3">
        <v>9147</v>
      </c>
      <c r="BC121" s="1">
        <v>814</v>
      </c>
      <c r="BD121" s="1">
        <v>922</v>
      </c>
      <c r="BE121" s="1">
        <v>1010</v>
      </c>
      <c r="BF121" s="1">
        <v>1198</v>
      </c>
      <c r="BG121" s="1">
        <v>911</v>
      </c>
      <c r="BH121" s="1">
        <v>1066</v>
      </c>
      <c r="BI121" s="1">
        <v>829</v>
      </c>
      <c r="BJ121" s="1">
        <v>948</v>
      </c>
      <c r="BK121" s="1">
        <v>1071</v>
      </c>
      <c r="BL121" s="1">
        <v>1147</v>
      </c>
      <c r="BM121" s="1">
        <v>1016</v>
      </c>
      <c r="BN121" s="1">
        <v>978</v>
      </c>
      <c r="BO121" s="3">
        <v>11910</v>
      </c>
      <c r="BP121" s="3">
        <f t="shared" si="2"/>
        <v>31758</v>
      </c>
    </row>
    <row r="122" spans="1:68" x14ac:dyDescent="0.2">
      <c r="A122" s="3">
        <v>75</v>
      </c>
      <c r="B122" t="s">
        <v>129</v>
      </c>
      <c r="C122" s="1">
        <v>26</v>
      </c>
      <c r="D122" s="1">
        <v>25</v>
      </c>
      <c r="E122" s="1">
        <v>21</v>
      </c>
      <c r="F122" s="1">
        <v>17</v>
      </c>
      <c r="G122" s="1">
        <v>18</v>
      </c>
      <c r="H122" s="1">
        <v>15</v>
      </c>
      <c r="I122" s="1">
        <v>14</v>
      </c>
      <c r="J122" s="1">
        <v>9</v>
      </c>
      <c r="K122" s="1">
        <v>10</v>
      </c>
      <c r="L122" s="1">
        <v>16</v>
      </c>
      <c r="M122" s="1">
        <v>38</v>
      </c>
      <c r="N122" s="1">
        <v>21</v>
      </c>
      <c r="O122" s="3">
        <v>230</v>
      </c>
      <c r="P122" s="1">
        <v>17</v>
      </c>
      <c r="Q122" s="1">
        <v>26</v>
      </c>
      <c r="R122" s="1">
        <v>29</v>
      </c>
      <c r="S122" s="1">
        <v>84</v>
      </c>
      <c r="T122" s="1">
        <v>86</v>
      </c>
      <c r="U122" s="1">
        <v>117</v>
      </c>
      <c r="V122" s="1">
        <v>105</v>
      </c>
      <c r="W122" s="1">
        <v>132</v>
      </c>
      <c r="X122" s="1">
        <v>179</v>
      </c>
      <c r="Y122" s="1">
        <v>320</v>
      </c>
      <c r="Z122" s="1">
        <v>406</v>
      </c>
      <c r="AA122" s="1">
        <v>623</v>
      </c>
      <c r="AB122" s="3">
        <v>2124</v>
      </c>
      <c r="AC122" s="1">
        <v>728</v>
      </c>
      <c r="AD122" s="1">
        <v>792</v>
      </c>
      <c r="AE122" s="1">
        <v>657</v>
      </c>
      <c r="AF122" s="1">
        <v>300</v>
      </c>
      <c r="AG122" s="1">
        <v>287</v>
      </c>
      <c r="AH122" s="1">
        <v>230</v>
      </c>
      <c r="AI122" s="1">
        <v>193</v>
      </c>
      <c r="AJ122" s="1">
        <v>258</v>
      </c>
      <c r="AK122" s="1">
        <v>292</v>
      </c>
      <c r="AL122" s="1">
        <v>624</v>
      </c>
      <c r="AM122" s="1">
        <v>580</v>
      </c>
      <c r="AN122" s="1">
        <v>816</v>
      </c>
      <c r="AO122" s="3">
        <v>5757</v>
      </c>
      <c r="AP122" s="1">
        <v>901</v>
      </c>
      <c r="AQ122" s="1">
        <v>1125</v>
      </c>
      <c r="AR122" s="1">
        <v>777</v>
      </c>
      <c r="AS122" s="1">
        <v>368</v>
      </c>
      <c r="AT122" s="1">
        <v>219</v>
      </c>
      <c r="AU122" s="1">
        <v>198</v>
      </c>
      <c r="AV122" s="1">
        <v>203</v>
      </c>
      <c r="AW122" s="1">
        <v>180</v>
      </c>
      <c r="AX122" s="1">
        <v>271</v>
      </c>
      <c r="AY122" s="1">
        <v>498</v>
      </c>
      <c r="AZ122" s="1">
        <v>622</v>
      </c>
      <c r="BA122" s="1">
        <v>752</v>
      </c>
      <c r="BB122" s="3">
        <v>6114</v>
      </c>
      <c r="BC122" s="1">
        <v>854</v>
      </c>
      <c r="BD122" s="1">
        <v>1123</v>
      </c>
      <c r="BE122" s="1">
        <v>740</v>
      </c>
      <c r="BF122" s="1">
        <v>397</v>
      </c>
      <c r="BG122" s="1">
        <v>268</v>
      </c>
      <c r="BH122" s="1">
        <v>245</v>
      </c>
      <c r="BI122" s="1">
        <v>254</v>
      </c>
      <c r="BJ122" s="1">
        <v>266</v>
      </c>
      <c r="BK122" s="1">
        <v>383</v>
      </c>
      <c r="BL122" s="1">
        <v>588</v>
      </c>
      <c r="BM122" s="1">
        <v>772</v>
      </c>
      <c r="BN122" s="1">
        <v>854</v>
      </c>
      <c r="BO122" s="3">
        <v>6744</v>
      </c>
      <c r="BP122" s="3">
        <f t="shared" si="2"/>
        <v>20969</v>
      </c>
    </row>
    <row r="123" spans="1:68" x14ac:dyDescent="0.2">
      <c r="A123" s="3">
        <v>76</v>
      </c>
      <c r="B123" t="s">
        <v>130</v>
      </c>
      <c r="C123" s="1">
        <v>4</v>
      </c>
      <c r="D123" s="1">
        <v>15</v>
      </c>
      <c r="E123" s="1">
        <v>14</v>
      </c>
      <c r="F123" s="1">
        <v>40</v>
      </c>
      <c r="G123" s="1">
        <v>20</v>
      </c>
      <c r="H123" s="1">
        <v>27</v>
      </c>
      <c r="I123" s="1">
        <v>14</v>
      </c>
      <c r="J123" s="1">
        <v>1</v>
      </c>
      <c r="K123" s="1">
        <v>2</v>
      </c>
      <c r="L123" s="1">
        <v>26</v>
      </c>
      <c r="M123" s="1">
        <v>31</v>
      </c>
      <c r="N123" s="1">
        <v>17</v>
      </c>
      <c r="O123" s="3">
        <v>211</v>
      </c>
      <c r="P123" s="1">
        <v>27</v>
      </c>
      <c r="Q123" s="1">
        <v>20</v>
      </c>
      <c r="R123" s="1">
        <v>43</v>
      </c>
      <c r="S123" s="1">
        <v>82</v>
      </c>
      <c r="T123" s="1">
        <v>111</v>
      </c>
      <c r="U123" s="1">
        <v>168</v>
      </c>
      <c r="V123" s="1">
        <v>192</v>
      </c>
      <c r="W123" s="1">
        <v>260</v>
      </c>
      <c r="X123" s="1">
        <v>338</v>
      </c>
      <c r="Y123" s="1">
        <v>328</v>
      </c>
      <c r="Z123" s="1">
        <v>462</v>
      </c>
      <c r="AA123" s="1">
        <v>457</v>
      </c>
      <c r="AB123" s="3">
        <v>2488</v>
      </c>
      <c r="AC123" s="1">
        <v>564</v>
      </c>
      <c r="AD123" s="1">
        <v>819</v>
      </c>
      <c r="AE123" s="1">
        <v>801</v>
      </c>
      <c r="AF123" s="1">
        <v>802</v>
      </c>
      <c r="AG123" s="1">
        <v>428</v>
      </c>
      <c r="AH123" s="1">
        <v>287</v>
      </c>
      <c r="AI123" s="1">
        <v>280</v>
      </c>
      <c r="AJ123" s="1">
        <v>379</v>
      </c>
      <c r="AK123" s="1">
        <v>505</v>
      </c>
      <c r="AL123" s="1">
        <v>710</v>
      </c>
      <c r="AM123" s="1">
        <v>744</v>
      </c>
      <c r="AN123" s="1">
        <v>914</v>
      </c>
      <c r="AO123" s="3">
        <v>7233</v>
      </c>
      <c r="AP123" s="1">
        <v>915</v>
      </c>
      <c r="AQ123" s="1">
        <v>1328</v>
      </c>
      <c r="AR123" s="1">
        <v>1311</v>
      </c>
      <c r="AS123" s="1">
        <v>1093</v>
      </c>
      <c r="AT123" s="1">
        <v>587</v>
      </c>
      <c r="AU123" s="1">
        <v>359</v>
      </c>
      <c r="AV123" s="1">
        <v>401</v>
      </c>
      <c r="AW123" s="1">
        <v>494</v>
      </c>
      <c r="AX123" s="1">
        <v>588</v>
      </c>
      <c r="AY123" s="1">
        <v>646</v>
      </c>
      <c r="AZ123" s="1">
        <v>862</v>
      </c>
      <c r="BA123" s="1">
        <v>1043</v>
      </c>
      <c r="BB123" s="3">
        <v>9627</v>
      </c>
      <c r="BC123" s="1">
        <v>845</v>
      </c>
      <c r="BD123" s="1">
        <v>1080</v>
      </c>
      <c r="BE123" s="1">
        <v>1248</v>
      </c>
      <c r="BF123" s="1">
        <v>1054</v>
      </c>
      <c r="BG123" s="1">
        <v>657</v>
      </c>
      <c r="BH123" s="1">
        <v>445</v>
      </c>
      <c r="BI123" s="1">
        <v>502</v>
      </c>
      <c r="BJ123" s="1">
        <v>664</v>
      </c>
      <c r="BK123" s="1">
        <v>724</v>
      </c>
      <c r="BL123" s="1">
        <v>877</v>
      </c>
      <c r="BM123" s="1">
        <v>925</v>
      </c>
      <c r="BN123" s="1">
        <v>1282</v>
      </c>
      <c r="BO123" s="3">
        <v>10303</v>
      </c>
      <c r="BP123" s="3">
        <f t="shared" si="2"/>
        <v>29862</v>
      </c>
    </row>
    <row r="124" spans="1:68" x14ac:dyDescent="0.2">
      <c r="A124" s="3">
        <v>77</v>
      </c>
      <c r="B124" t="s">
        <v>131</v>
      </c>
      <c r="C124" s="1">
        <v>18</v>
      </c>
      <c r="D124" s="1">
        <v>19</v>
      </c>
      <c r="E124" s="1">
        <v>37</v>
      </c>
      <c r="F124" s="1">
        <v>39</v>
      </c>
      <c r="G124" s="1">
        <v>44</v>
      </c>
      <c r="H124" s="1">
        <v>35</v>
      </c>
      <c r="I124" s="1">
        <v>27</v>
      </c>
      <c r="J124" s="1">
        <v>17</v>
      </c>
      <c r="K124" s="1">
        <v>14</v>
      </c>
      <c r="L124" s="1">
        <v>30</v>
      </c>
      <c r="M124" s="1">
        <v>65</v>
      </c>
      <c r="N124" s="1">
        <v>40</v>
      </c>
      <c r="O124" s="3">
        <v>385</v>
      </c>
      <c r="P124" s="1">
        <v>56</v>
      </c>
      <c r="Q124" s="1">
        <v>41</v>
      </c>
      <c r="R124" s="1">
        <v>78</v>
      </c>
      <c r="S124" s="1">
        <v>143</v>
      </c>
      <c r="T124" s="1">
        <v>176</v>
      </c>
      <c r="U124" s="1">
        <v>242</v>
      </c>
      <c r="V124" s="1">
        <v>489</v>
      </c>
      <c r="W124" s="1">
        <v>1118</v>
      </c>
      <c r="X124" s="1">
        <v>625</v>
      </c>
      <c r="Y124" s="1">
        <v>702</v>
      </c>
      <c r="Z124" s="1">
        <v>707</v>
      </c>
      <c r="AA124" s="1">
        <v>947</v>
      </c>
      <c r="AB124" s="3">
        <v>5324</v>
      </c>
      <c r="AC124" s="1">
        <v>635</v>
      </c>
      <c r="AD124" s="1">
        <v>639</v>
      </c>
      <c r="AE124" s="1">
        <v>613</v>
      </c>
      <c r="AF124" s="1">
        <v>797</v>
      </c>
      <c r="AG124" s="1">
        <v>522</v>
      </c>
      <c r="AH124" s="1">
        <v>532</v>
      </c>
      <c r="AI124" s="1">
        <v>773</v>
      </c>
      <c r="AJ124" s="1">
        <v>1445</v>
      </c>
      <c r="AK124" s="1">
        <v>771</v>
      </c>
      <c r="AL124" s="1">
        <v>902</v>
      </c>
      <c r="AM124" s="1">
        <v>876</v>
      </c>
      <c r="AN124" s="1">
        <v>1026</v>
      </c>
      <c r="AO124" s="3">
        <v>9531</v>
      </c>
      <c r="AP124" s="1">
        <v>801</v>
      </c>
      <c r="AQ124" s="1">
        <v>852</v>
      </c>
      <c r="AR124" s="1">
        <v>885</v>
      </c>
      <c r="AS124" s="1">
        <v>960</v>
      </c>
      <c r="AT124" s="1">
        <v>793</v>
      </c>
      <c r="AU124" s="1">
        <v>679</v>
      </c>
      <c r="AV124" s="1">
        <v>715</v>
      </c>
      <c r="AW124" s="1">
        <v>1987</v>
      </c>
      <c r="AX124" s="1">
        <v>760</v>
      </c>
      <c r="AY124" s="1">
        <v>856</v>
      </c>
      <c r="AZ124" s="1">
        <v>925</v>
      </c>
      <c r="BA124" s="1">
        <v>1129</v>
      </c>
      <c r="BB124" s="3">
        <v>11342</v>
      </c>
      <c r="BC124" s="1">
        <v>811</v>
      </c>
      <c r="BD124" s="1">
        <v>781</v>
      </c>
      <c r="BE124" s="1">
        <v>824</v>
      </c>
      <c r="BF124" s="1">
        <v>1129</v>
      </c>
      <c r="BG124" s="1">
        <v>789</v>
      </c>
      <c r="BH124" s="1">
        <v>788</v>
      </c>
      <c r="BI124" s="1">
        <v>1107</v>
      </c>
      <c r="BJ124" s="1">
        <v>2574</v>
      </c>
      <c r="BK124" s="1">
        <v>992</v>
      </c>
      <c r="BL124" s="1">
        <v>941</v>
      </c>
      <c r="BM124" s="1">
        <v>1049</v>
      </c>
      <c r="BN124" s="1">
        <v>1244</v>
      </c>
      <c r="BO124" s="3">
        <v>13029</v>
      </c>
      <c r="BP124" s="3">
        <f t="shared" si="2"/>
        <v>39611</v>
      </c>
    </row>
    <row r="125" spans="1:68" x14ac:dyDescent="0.2">
      <c r="A125" s="3">
        <v>78</v>
      </c>
      <c r="B125" t="s">
        <v>132</v>
      </c>
      <c r="C125" s="1">
        <v>3</v>
      </c>
      <c r="D125" s="1">
        <v>19</v>
      </c>
      <c r="E125" s="1">
        <v>19</v>
      </c>
      <c r="F125" s="1">
        <v>51</v>
      </c>
      <c r="G125" s="1">
        <v>17</v>
      </c>
      <c r="H125" s="1">
        <v>32</v>
      </c>
      <c r="I125" s="1">
        <v>15</v>
      </c>
      <c r="J125" s="1">
        <v>8</v>
      </c>
      <c r="K125" s="1">
        <v>6</v>
      </c>
      <c r="L125" s="1">
        <v>25</v>
      </c>
      <c r="M125" s="1">
        <v>55</v>
      </c>
      <c r="N125" s="1">
        <v>79</v>
      </c>
      <c r="O125" s="3">
        <v>329</v>
      </c>
      <c r="P125" s="1">
        <v>56</v>
      </c>
      <c r="Q125" s="1">
        <v>47</v>
      </c>
      <c r="R125" s="1">
        <v>92</v>
      </c>
      <c r="S125" s="1">
        <v>84</v>
      </c>
      <c r="T125" s="1">
        <v>88</v>
      </c>
      <c r="U125" s="1">
        <v>132</v>
      </c>
      <c r="V125" s="1">
        <v>118</v>
      </c>
      <c r="W125" s="1">
        <v>180</v>
      </c>
      <c r="X125" s="1">
        <v>257</v>
      </c>
      <c r="Y125" s="1">
        <v>349</v>
      </c>
      <c r="Z125" s="1">
        <v>497</v>
      </c>
      <c r="AA125" s="1">
        <v>578</v>
      </c>
      <c r="AB125" s="3">
        <v>2478</v>
      </c>
      <c r="AC125" s="1">
        <v>610</v>
      </c>
      <c r="AD125" s="1">
        <v>646</v>
      </c>
      <c r="AE125" s="1">
        <v>644</v>
      </c>
      <c r="AF125" s="1">
        <v>384</v>
      </c>
      <c r="AG125" s="1">
        <v>246</v>
      </c>
      <c r="AH125" s="1">
        <v>202</v>
      </c>
      <c r="AI125" s="1">
        <v>192</v>
      </c>
      <c r="AJ125" s="1">
        <v>1077</v>
      </c>
      <c r="AK125" s="1">
        <v>376</v>
      </c>
      <c r="AL125" s="1">
        <v>629</v>
      </c>
      <c r="AM125" s="1">
        <v>473</v>
      </c>
      <c r="AN125" s="1">
        <v>480</v>
      </c>
      <c r="AO125" s="3">
        <v>5959</v>
      </c>
      <c r="AP125" s="1">
        <v>536</v>
      </c>
      <c r="AQ125" s="1">
        <v>570</v>
      </c>
      <c r="AR125" s="1">
        <v>700</v>
      </c>
      <c r="AS125" s="1">
        <v>389</v>
      </c>
      <c r="AT125" s="1">
        <v>236</v>
      </c>
      <c r="AU125" s="1">
        <v>231</v>
      </c>
      <c r="AV125" s="1">
        <v>203</v>
      </c>
      <c r="AW125" s="1">
        <v>191</v>
      </c>
      <c r="AX125" s="1">
        <v>295</v>
      </c>
      <c r="AY125" s="1">
        <v>475</v>
      </c>
      <c r="AZ125" s="1">
        <v>570</v>
      </c>
      <c r="BA125" s="1">
        <v>729</v>
      </c>
      <c r="BB125" s="3">
        <v>5125</v>
      </c>
      <c r="BC125" s="1">
        <v>593</v>
      </c>
      <c r="BD125" s="1">
        <v>561</v>
      </c>
      <c r="BE125" s="1">
        <v>653</v>
      </c>
      <c r="BF125" s="1">
        <v>429</v>
      </c>
      <c r="BG125" s="1">
        <v>292</v>
      </c>
      <c r="BH125" s="1">
        <v>245</v>
      </c>
      <c r="BI125" s="1">
        <v>200</v>
      </c>
      <c r="BJ125" s="1">
        <v>244</v>
      </c>
      <c r="BK125" s="1">
        <v>304</v>
      </c>
      <c r="BL125" s="1">
        <v>527</v>
      </c>
      <c r="BM125" s="1">
        <v>632</v>
      </c>
      <c r="BN125" s="1">
        <v>726</v>
      </c>
      <c r="BO125" s="3">
        <v>5406</v>
      </c>
      <c r="BP125" s="3">
        <f t="shared" si="2"/>
        <v>19297</v>
      </c>
    </row>
    <row r="126" spans="1:68" x14ac:dyDescent="0.2">
      <c r="A126" s="3">
        <v>79</v>
      </c>
      <c r="B126" t="s">
        <v>133</v>
      </c>
      <c r="C126" s="1">
        <v>8</v>
      </c>
      <c r="D126" s="1">
        <v>18</v>
      </c>
      <c r="E126" s="1">
        <v>39</v>
      </c>
      <c r="F126" s="1">
        <v>50</v>
      </c>
      <c r="G126" s="1">
        <v>44</v>
      </c>
      <c r="H126" s="1">
        <v>60</v>
      </c>
      <c r="I126" s="1">
        <v>28</v>
      </c>
      <c r="J126" s="1">
        <v>2</v>
      </c>
      <c r="K126" s="1">
        <v>18</v>
      </c>
      <c r="L126" s="1">
        <v>41</v>
      </c>
      <c r="M126" s="1">
        <v>56</v>
      </c>
      <c r="N126" s="1">
        <v>28</v>
      </c>
      <c r="O126" s="3">
        <v>392</v>
      </c>
      <c r="P126" s="1">
        <v>56</v>
      </c>
      <c r="Q126" s="1">
        <v>46</v>
      </c>
      <c r="R126" s="1">
        <v>47</v>
      </c>
      <c r="S126" s="1">
        <v>60</v>
      </c>
      <c r="T126" s="1">
        <v>102</v>
      </c>
      <c r="U126" s="1">
        <v>146</v>
      </c>
      <c r="V126" s="1">
        <v>175</v>
      </c>
      <c r="W126" s="1">
        <v>276</v>
      </c>
      <c r="X126" s="1">
        <v>197</v>
      </c>
      <c r="Y126" s="1">
        <v>213</v>
      </c>
      <c r="Z126" s="1">
        <v>275</v>
      </c>
      <c r="AA126" s="1">
        <v>267</v>
      </c>
      <c r="AB126" s="3">
        <v>1860</v>
      </c>
      <c r="AC126" s="1">
        <v>283</v>
      </c>
      <c r="AD126" s="1">
        <v>253</v>
      </c>
      <c r="AE126" s="1">
        <v>287</v>
      </c>
      <c r="AF126" s="1">
        <v>371</v>
      </c>
      <c r="AG126" s="1">
        <v>250</v>
      </c>
      <c r="AH126" s="1">
        <v>252</v>
      </c>
      <c r="AI126" s="1">
        <v>304</v>
      </c>
      <c r="AJ126" s="1">
        <v>401</v>
      </c>
      <c r="AK126" s="1">
        <v>318</v>
      </c>
      <c r="AL126" s="1">
        <v>374</v>
      </c>
      <c r="AM126" s="1">
        <v>386</v>
      </c>
      <c r="AN126" s="1">
        <v>502</v>
      </c>
      <c r="AO126" s="3">
        <v>3981</v>
      </c>
      <c r="AP126" s="1">
        <v>484</v>
      </c>
      <c r="AQ126" s="1">
        <v>467</v>
      </c>
      <c r="AR126" s="1">
        <v>430</v>
      </c>
      <c r="AS126" s="1">
        <v>408</v>
      </c>
      <c r="AT126" s="1">
        <v>285</v>
      </c>
      <c r="AU126" s="1">
        <v>321</v>
      </c>
      <c r="AV126" s="1">
        <v>501</v>
      </c>
      <c r="AW126" s="1">
        <v>497</v>
      </c>
      <c r="AX126" s="1">
        <v>389</v>
      </c>
      <c r="AY126" s="1">
        <v>500</v>
      </c>
      <c r="AZ126" s="1">
        <v>354</v>
      </c>
      <c r="BA126" s="1">
        <v>581</v>
      </c>
      <c r="BB126" s="3">
        <v>5217</v>
      </c>
      <c r="BC126" s="1">
        <v>465</v>
      </c>
      <c r="BD126" s="1">
        <v>405</v>
      </c>
      <c r="BE126" s="1">
        <v>385</v>
      </c>
      <c r="BF126" s="1">
        <v>415</v>
      </c>
      <c r="BG126" s="1">
        <v>346</v>
      </c>
      <c r="BH126" s="1">
        <v>385</v>
      </c>
      <c r="BI126" s="1">
        <v>525</v>
      </c>
      <c r="BJ126" s="1">
        <v>489</v>
      </c>
      <c r="BK126" s="1">
        <v>439</v>
      </c>
      <c r="BL126" s="1">
        <v>402</v>
      </c>
      <c r="BM126" s="1">
        <v>388</v>
      </c>
      <c r="BN126" s="1">
        <v>533</v>
      </c>
      <c r="BO126" s="3">
        <v>5177</v>
      </c>
      <c r="BP126" s="3">
        <f t="shared" si="2"/>
        <v>16627</v>
      </c>
    </row>
    <row r="127" spans="1:68" x14ac:dyDescent="0.2">
      <c r="A127" s="3">
        <v>80</v>
      </c>
      <c r="B127" t="s">
        <v>134</v>
      </c>
      <c r="C127" s="1">
        <v>3</v>
      </c>
      <c r="D127" s="1">
        <v>19</v>
      </c>
      <c r="E127" s="1">
        <v>2</v>
      </c>
      <c r="F127" s="1">
        <v>5</v>
      </c>
      <c r="G127" s="1">
        <v>6</v>
      </c>
      <c r="H127" s="1">
        <v>10</v>
      </c>
      <c r="I127" s="1">
        <v>5</v>
      </c>
      <c r="J127" s="1">
        <v>3</v>
      </c>
      <c r="K127" s="1">
        <v>5</v>
      </c>
      <c r="L127" s="1">
        <v>16</v>
      </c>
      <c r="M127" s="1">
        <v>2</v>
      </c>
      <c r="N127" s="1">
        <v>7</v>
      </c>
      <c r="O127" s="3">
        <v>83</v>
      </c>
      <c r="P127" s="1">
        <v>13</v>
      </c>
      <c r="Q127" s="1">
        <v>20</v>
      </c>
      <c r="R127" s="1">
        <v>38</v>
      </c>
      <c r="S127" s="1">
        <v>65</v>
      </c>
      <c r="T127" s="1">
        <v>121</v>
      </c>
      <c r="U127" s="1">
        <v>194</v>
      </c>
      <c r="V127" s="1">
        <v>325</v>
      </c>
      <c r="W127" s="1">
        <v>515</v>
      </c>
      <c r="X127" s="1">
        <v>282</v>
      </c>
      <c r="Y127" s="1">
        <v>326</v>
      </c>
      <c r="Z127" s="1">
        <v>243</v>
      </c>
      <c r="AA127" s="1">
        <v>323</v>
      </c>
      <c r="AB127" s="3">
        <v>2465</v>
      </c>
      <c r="AC127" s="1">
        <v>272</v>
      </c>
      <c r="AD127" s="1">
        <v>277</v>
      </c>
      <c r="AE127" s="1">
        <v>402</v>
      </c>
      <c r="AF127" s="1">
        <v>487</v>
      </c>
      <c r="AG127" s="1">
        <v>392</v>
      </c>
      <c r="AH127" s="1">
        <v>486</v>
      </c>
      <c r="AI127" s="1">
        <v>723</v>
      </c>
      <c r="AJ127" s="1">
        <v>907</v>
      </c>
      <c r="AK127" s="1">
        <v>582</v>
      </c>
      <c r="AL127" s="1">
        <v>549</v>
      </c>
      <c r="AM127" s="1">
        <v>323</v>
      </c>
      <c r="AN127" s="1">
        <v>354</v>
      </c>
      <c r="AO127" s="3">
        <v>5754</v>
      </c>
      <c r="AP127" s="1">
        <v>232</v>
      </c>
      <c r="AQ127" s="1">
        <v>373</v>
      </c>
      <c r="AR127" s="1">
        <v>591</v>
      </c>
      <c r="AS127" s="1">
        <v>439</v>
      </c>
      <c r="AT127" s="1">
        <v>420</v>
      </c>
      <c r="AU127" s="1">
        <v>471</v>
      </c>
      <c r="AV127" s="1">
        <v>815</v>
      </c>
      <c r="AW127" s="1">
        <v>1029</v>
      </c>
      <c r="AX127" s="1">
        <v>695</v>
      </c>
      <c r="AY127" s="1">
        <v>473</v>
      </c>
      <c r="AZ127" s="1">
        <v>299</v>
      </c>
      <c r="BA127" s="1">
        <v>481</v>
      </c>
      <c r="BB127" s="3">
        <v>6318</v>
      </c>
      <c r="BC127" s="1">
        <v>281</v>
      </c>
      <c r="BD127" s="1">
        <v>339</v>
      </c>
      <c r="BE127" s="1">
        <v>375</v>
      </c>
      <c r="BF127" s="1">
        <v>596</v>
      </c>
      <c r="BG127" s="1">
        <v>425</v>
      </c>
      <c r="BH127" s="1">
        <v>515</v>
      </c>
      <c r="BI127" s="1">
        <v>861</v>
      </c>
      <c r="BJ127" s="1">
        <v>1041</v>
      </c>
      <c r="BK127" s="1">
        <v>654</v>
      </c>
      <c r="BL127" s="1">
        <v>510</v>
      </c>
      <c r="BM127" s="1">
        <v>293</v>
      </c>
      <c r="BN127" s="1">
        <v>480</v>
      </c>
      <c r="BO127" s="3">
        <v>6370</v>
      </c>
      <c r="BP127" s="3">
        <f t="shared" si="2"/>
        <v>20990</v>
      </c>
    </row>
    <row r="128" spans="1:68" x14ac:dyDescent="0.2">
      <c r="A128" s="3">
        <v>81</v>
      </c>
      <c r="B128" t="s">
        <v>135</v>
      </c>
      <c r="C128" s="1">
        <v>1</v>
      </c>
      <c r="D128" s="1">
        <v>13</v>
      </c>
      <c r="E128" s="1">
        <v>1</v>
      </c>
      <c r="F128" s="1">
        <v>3</v>
      </c>
      <c r="G128" s="1">
        <v>1</v>
      </c>
      <c r="H128" s="1">
        <v>6</v>
      </c>
      <c r="I128" s="1">
        <v>2</v>
      </c>
      <c r="J128" s="1">
        <v>1</v>
      </c>
      <c r="K128" s="1">
        <v>0</v>
      </c>
      <c r="L128" s="1">
        <v>7</v>
      </c>
      <c r="M128" s="1">
        <v>0</v>
      </c>
      <c r="N128" s="1">
        <v>3</v>
      </c>
      <c r="O128" s="3">
        <v>38</v>
      </c>
      <c r="P128" s="1">
        <v>5</v>
      </c>
      <c r="Q128" s="1">
        <v>7</v>
      </c>
      <c r="R128" s="1">
        <v>16</v>
      </c>
      <c r="S128" s="1">
        <v>27</v>
      </c>
      <c r="T128" s="1">
        <v>33</v>
      </c>
      <c r="U128" s="1">
        <v>59</v>
      </c>
      <c r="V128" s="1">
        <v>48</v>
      </c>
      <c r="W128" s="1">
        <v>59</v>
      </c>
      <c r="X128" s="1">
        <v>37</v>
      </c>
      <c r="Y128" s="1">
        <v>150</v>
      </c>
      <c r="Z128" s="1">
        <v>53</v>
      </c>
      <c r="AA128" s="1">
        <v>138</v>
      </c>
      <c r="AB128" s="3">
        <v>632</v>
      </c>
      <c r="AC128" s="1">
        <v>75</v>
      </c>
      <c r="AD128" s="1">
        <v>95</v>
      </c>
      <c r="AE128" s="1">
        <v>185</v>
      </c>
      <c r="AF128" s="1">
        <v>115</v>
      </c>
      <c r="AG128" s="1">
        <v>91</v>
      </c>
      <c r="AH128" s="1">
        <v>159</v>
      </c>
      <c r="AI128" s="1">
        <v>146</v>
      </c>
      <c r="AJ128" s="1">
        <v>61</v>
      </c>
      <c r="AK128" s="1">
        <v>101</v>
      </c>
      <c r="AL128" s="1">
        <v>183</v>
      </c>
      <c r="AM128" s="1">
        <v>74</v>
      </c>
      <c r="AN128" s="1">
        <v>101</v>
      </c>
      <c r="AO128" s="3">
        <v>1386</v>
      </c>
      <c r="AP128" s="1">
        <v>62</v>
      </c>
      <c r="AQ128" s="1">
        <v>107</v>
      </c>
      <c r="AR128" s="1">
        <v>224</v>
      </c>
      <c r="AS128" s="1">
        <v>116</v>
      </c>
      <c r="AT128" s="1">
        <v>74</v>
      </c>
      <c r="AU128" s="1">
        <v>101</v>
      </c>
      <c r="AV128" s="1">
        <v>105</v>
      </c>
      <c r="AW128" s="1">
        <v>77</v>
      </c>
      <c r="AX128" s="1">
        <v>145</v>
      </c>
      <c r="AY128" s="1">
        <v>135</v>
      </c>
      <c r="AZ128" s="1">
        <v>89</v>
      </c>
      <c r="BA128" s="1">
        <v>135</v>
      </c>
      <c r="BB128" s="3">
        <v>1370</v>
      </c>
      <c r="BC128" s="1">
        <v>96</v>
      </c>
      <c r="BD128" s="1">
        <v>132</v>
      </c>
      <c r="BE128" s="1">
        <v>131</v>
      </c>
      <c r="BF128" s="1">
        <v>138</v>
      </c>
      <c r="BG128" s="1">
        <v>72</v>
      </c>
      <c r="BH128" s="1">
        <v>153</v>
      </c>
      <c r="BI128" s="1">
        <v>106</v>
      </c>
      <c r="BJ128" s="1">
        <v>71</v>
      </c>
      <c r="BK128" s="1">
        <v>102</v>
      </c>
      <c r="BL128" s="1">
        <v>141</v>
      </c>
      <c r="BM128" s="1">
        <v>81</v>
      </c>
      <c r="BN128" s="1">
        <v>128</v>
      </c>
      <c r="BO128" s="3">
        <v>1351</v>
      </c>
      <c r="BP128" s="3">
        <f t="shared" si="2"/>
        <v>4777</v>
      </c>
    </row>
    <row r="129" spans="1:68" x14ac:dyDescent="0.2">
      <c r="A129" s="3">
        <v>82</v>
      </c>
      <c r="B129" t="s">
        <v>136</v>
      </c>
      <c r="C129" s="1">
        <v>0</v>
      </c>
      <c r="D129" s="1">
        <v>2</v>
      </c>
      <c r="E129" s="1">
        <v>0</v>
      </c>
      <c r="F129" s="1">
        <v>1</v>
      </c>
      <c r="G129" s="1">
        <v>4</v>
      </c>
      <c r="H129" s="1">
        <v>3</v>
      </c>
      <c r="I129" s="1">
        <v>1</v>
      </c>
      <c r="J129" s="1">
        <v>0</v>
      </c>
      <c r="K129" s="1">
        <v>1</v>
      </c>
      <c r="L129" s="1">
        <v>4</v>
      </c>
      <c r="M129" s="1">
        <v>0</v>
      </c>
      <c r="N129" s="1">
        <v>4</v>
      </c>
      <c r="O129" s="3">
        <v>20</v>
      </c>
      <c r="P129" s="1">
        <v>2</v>
      </c>
      <c r="Q129" s="1">
        <v>4</v>
      </c>
      <c r="R129" s="1">
        <v>10</v>
      </c>
      <c r="S129" s="1">
        <v>11</v>
      </c>
      <c r="T129" s="1">
        <v>47</v>
      </c>
      <c r="U129" s="1">
        <v>67</v>
      </c>
      <c r="V129" s="1">
        <v>113</v>
      </c>
      <c r="W129" s="1">
        <v>135</v>
      </c>
      <c r="X129" s="1">
        <v>108</v>
      </c>
      <c r="Y129" s="1">
        <v>69</v>
      </c>
      <c r="Z129" s="1">
        <v>65</v>
      </c>
      <c r="AA129" s="1">
        <v>78</v>
      </c>
      <c r="AB129" s="3">
        <v>709</v>
      </c>
      <c r="AC129" s="1">
        <v>111</v>
      </c>
      <c r="AD129" s="1">
        <v>77</v>
      </c>
      <c r="AE129" s="1">
        <v>99</v>
      </c>
      <c r="AF129" s="1">
        <v>146</v>
      </c>
      <c r="AG129" s="1">
        <v>135</v>
      </c>
      <c r="AH129" s="1">
        <v>145</v>
      </c>
      <c r="AI129" s="1">
        <v>242</v>
      </c>
      <c r="AJ129" s="1">
        <v>241</v>
      </c>
      <c r="AK129" s="1">
        <v>197</v>
      </c>
      <c r="AL129" s="1">
        <v>111</v>
      </c>
      <c r="AM129" s="1">
        <v>77</v>
      </c>
      <c r="AN129" s="1">
        <v>127</v>
      </c>
      <c r="AO129" s="3">
        <v>1708</v>
      </c>
      <c r="AP129" s="1">
        <v>95</v>
      </c>
      <c r="AQ129" s="1">
        <v>104</v>
      </c>
      <c r="AR129" s="1">
        <v>131</v>
      </c>
      <c r="AS129" s="1">
        <v>94</v>
      </c>
      <c r="AT129" s="1">
        <v>129</v>
      </c>
      <c r="AU129" s="1">
        <v>154</v>
      </c>
      <c r="AV129" s="1">
        <v>307</v>
      </c>
      <c r="AW129" s="1">
        <v>258</v>
      </c>
      <c r="AX129" s="1">
        <v>255</v>
      </c>
      <c r="AY129" s="1">
        <v>115</v>
      </c>
      <c r="AZ129" s="1">
        <v>86</v>
      </c>
      <c r="BA129" s="1">
        <v>174</v>
      </c>
      <c r="BB129" s="3">
        <v>1902</v>
      </c>
      <c r="BC129" s="1">
        <v>95</v>
      </c>
      <c r="BD129" s="1">
        <v>79</v>
      </c>
      <c r="BE129" s="1">
        <v>96</v>
      </c>
      <c r="BF129" s="1">
        <v>143</v>
      </c>
      <c r="BG129" s="1">
        <v>133</v>
      </c>
      <c r="BH129" s="1">
        <v>167</v>
      </c>
      <c r="BI129" s="1">
        <v>304</v>
      </c>
      <c r="BJ129" s="1">
        <v>308</v>
      </c>
      <c r="BK129" s="1">
        <v>243</v>
      </c>
      <c r="BL129" s="1">
        <v>116</v>
      </c>
      <c r="BM129" s="1">
        <v>71</v>
      </c>
      <c r="BN129" s="1">
        <v>179</v>
      </c>
      <c r="BO129" s="3">
        <v>1934</v>
      </c>
      <c r="BP129" s="3">
        <f t="shared" si="2"/>
        <v>6273</v>
      </c>
    </row>
    <row r="130" spans="1:68" x14ac:dyDescent="0.2">
      <c r="A130" s="3">
        <v>83</v>
      </c>
      <c r="B130" t="s">
        <v>137</v>
      </c>
      <c r="C130" s="1">
        <v>1</v>
      </c>
      <c r="D130" s="1">
        <v>2</v>
      </c>
      <c r="E130" s="1">
        <v>1</v>
      </c>
      <c r="F130" s="1">
        <v>0</v>
      </c>
      <c r="G130" s="1">
        <v>0</v>
      </c>
      <c r="H130" s="1">
        <v>1</v>
      </c>
      <c r="I130" s="1">
        <v>0</v>
      </c>
      <c r="J130" s="1">
        <v>1</v>
      </c>
      <c r="K130" s="1">
        <v>1</v>
      </c>
      <c r="L130" s="1">
        <v>0</v>
      </c>
      <c r="M130" s="1">
        <v>0</v>
      </c>
      <c r="N130" s="1">
        <v>0</v>
      </c>
      <c r="O130" s="3">
        <v>7</v>
      </c>
      <c r="P130" s="1">
        <v>5</v>
      </c>
      <c r="Q130" s="1">
        <v>2</v>
      </c>
      <c r="R130" s="1">
        <v>5</v>
      </c>
      <c r="S130" s="1">
        <v>17</v>
      </c>
      <c r="T130" s="1">
        <v>37</v>
      </c>
      <c r="U130" s="1">
        <v>61</v>
      </c>
      <c r="V130" s="1">
        <v>132</v>
      </c>
      <c r="W130" s="1">
        <v>273</v>
      </c>
      <c r="X130" s="1">
        <v>110</v>
      </c>
      <c r="Y130" s="1">
        <v>74</v>
      </c>
      <c r="Z130" s="1">
        <v>90</v>
      </c>
      <c r="AA130" s="1">
        <v>89</v>
      </c>
      <c r="AB130" s="3">
        <v>895</v>
      </c>
      <c r="AC130" s="1">
        <v>64</v>
      </c>
      <c r="AD130" s="1">
        <v>83</v>
      </c>
      <c r="AE130" s="1">
        <v>87</v>
      </c>
      <c r="AF130" s="1">
        <v>167</v>
      </c>
      <c r="AG130" s="1">
        <v>111</v>
      </c>
      <c r="AH130" s="1">
        <v>136</v>
      </c>
      <c r="AI130" s="1">
        <v>260</v>
      </c>
      <c r="AJ130" s="1">
        <v>512</v>
      </c>
      <c r="AK130" s="1">
        <v>236</v>
      </c>
      <c r="AL130" s="1">
        <v>156</v>
      </c>
      <c r="AM130" s="1">
        <v>114</v>
      </c>
      <c r="AN130" s="1">
        <v>82</v>
      </c>
      <c r="AO130" s="3">
        <v>2008</v>
      </c>
      <c r="AP130" s="1">
        <v>53</v>
      </c>
      <c r="AQ130" s="1">
        <v>122</v>
      </c>
      <c r="AR130" s="1">
        <v>161</v>
      </c>
      <c r="AS130" s="1">
        <v>158</v>
      </c>
      <c r="AT130" s="1">
        <v>148</v>
      </c>
      <c r="AU130" s="1">
        <v>165</v>
      </c>
      <c r="AV130" s="1">
        <v>290</v>
      </c>
      <c r="AW130" s="1">
        <v>573</v>
      </c>
      <c r="AX130" s="1">
        <v>190</v>
      </c>
      <c r="AY130" s="1">
        <v>164</v>
      </c>
      <c r="AZ130" s="1">
        <v>84</v>
      </c>
      <c r="BA130" s="1">
        <v>121</v>
      </c>
      <c r="BB130" s="3">
        <v>2229</v>
      </c>
      <c r="BC130" s="1">
        <v>57</v>
      </c>
      <c r="BD130" s="1">
        <v>99</v>
      </c>
      <c r="BE130" s="1">
        <v>107</v>
      </c>
      <c r="BF130" s="1">
        <v>235</v>
      </c>
      <c r="BG130" s="1">
        <v>153</v>
      </c>
      <c r="BH130" s="1">
        <v>130</v>
      </c>
      <c r="BI130" s="1">
        <v>320</v>
      </c>
      <c r="BJ130" s="1">
        <v>499</v>
      </c>
      <c r="BK130" s="1">
        <v>228</v>
      </c>
      <c r="BL130" s="1">
        <v>176</v>
      </c>
      <c r="BM130" s="1">
        <v>101</v>
      </c>
      <c r="BN130" s="1">
        <v>125</v>
      </c>
      <c r="BO130" s="3">
        <v>2230</v>
      </c>
      <c r="BP130" s="3">
        <f t="shared" si="2"/>
        <v>7369</v>
      </c>
    </row>
    <row r="131" spans="1:68" x14ac:dyDescent="0.2">
      <c r="A131" s="3">
        <v>84</v>
      </c>
      <c r="B131" t="s">
        <v>138</v>
      </c>
      <c r="C131" s="1">
        <v>0</v>
      </c>
      <c r="D131" s="1">
        <v>1</v>
      </c>
      <c r="E131" s="1">
        <v>0</v>
      </c>
      <c r="F131" s="1">
        <v>0</v>
      </c>
      <c r="G131" s="1">
        <v>1</v>
      </c>
      <c r="H131" s="1">
        <v>0</v>
      </c>
      <c r="I131" s="1">
        <v>1</v>
      </c>
      <c r="J131" s="1">
        <v>1</v>
      </c>
      <c r="K131" s="1">
        <v>3</v>
      </c>
      <c r="L131" s="1">
        <v>3</v>
      </c>
      <c r="M131" s="1">
        <v>0</v>
      </c>
      <c r="N131" s="1">
        <v>0</v>
      </c>
      <c r="O131" s="3">
        <v>10</v>
      </c>
      <c r="P131" s="1">
        <v>0</v>
      </c>
      <c r="Q131" s="1">
        <v>2</v>
      </c>
      <c r="R131" s="1">
        <v>0</v>
      </c>
      <c r="S131" s="1">
        <v>8</v>
      </c>
      <c r="T131" s="1">
        <v>0</v>
      </c>
      <c r="U131" s="1">
        <v>2</v>
      </c>
      <c r="V131" s="1">
        <v>6</v>
      </c>
      <c r="W131" s="1">
        <v>21</v>
      </c>
      <c r="X131" s="1">
        <v>8</v>
      </c>
      <c r="Y131" s="1">
        <v>17</v>
      </c>
      <c r="Z131" s="1">
        <v>11</v>
      </c>
      <c r="AA131" s="1">
        <v>4</v>
      </c>
      <c r="AB131" s="3">
        <v>79</v>
      </c>
      <c r="AC131" s="1">
        <v>13</v>
      </c>
      <c r="AD131" s="1">
        <v>7</v>
      </c>
      <c r="AE131" s="1">
        <v>12</v>
      </c>
      <c r="AF131" s="1">
        <v>16</v>
      </c>
      <c r="AG131" s="1">
        <v>13</v>
      </c>
      <c r="AH131" s="1">
        <v>18</v>
      </c>
      <c r="AI131" s="1">
        <v>16</v>
      </c>
      <c r="AJ131" s="1">
        <v>14</v>
      </c>
      <c r="AK131" s="1">
        <v>16</v>
      </c>
      <c r="AL131" s="1">
        <v>16</v>
      </c>
      <c r="AM131" s="1">
        <v>12</v>
      </c>
      <c r="AN131" s="1">
        <v>6</v>
      </c>
      <c r="AO131" s="3">
        <v>159</v>
      </c>
      <c r="AP131" s="1">
        <v>7</v>
      </c>
      <c r="AQ131" s="1">
        <v>11</v>
      </c>
      <c r="AR131" s="1">
        <v>18</v>
      </c>
      <c r="AS131" s="1">
        <v>34</v>
      </c>
      <c r="AT131" s="1">
        <v>17</v>
      </c>
      <c r="AU131" s="1">
        <v>20</v>
      </c>
      <c r="AV131" s="1">
        <v>54</v>
      </c>
      <c r="AW131" s="1">
        <v>15</v>
      </c>
      <c r="AX131" s="1">
        <v>15</v>
      </c>
      <c r="AY131" s="1">
        <v>23</v>
      </c>
      <c r="AZ131" s="1">
        <v>10</v>
      </c>
      <c r="BA131" s="1">
        <v>18</v>
      </c>
      <c r="BB131" s="3">
        <v>242</v>
      </c>
      <c r="BC131" s="1">
        <v>8</v>
      </c>
      <c r="BD131" s="1">
        <v>9</v>
      </c>
      <c r="BE131" s="1">
        <v>20</v>
      </c>
      <c r="BF131" s="1">
        <v>24</v>
      </c>
      <c r="BG131" s="1">
        <v>22</v>
      </c>
      <c r="BH131" s="1">
        <v>15</v>
      </c>
      <c r="BI131" s="1">
        <v>71</v>
      </c>
      <c r="BJ131" s="1">
        <v>25</v>
      </c>
      <c r="BK131" s="1">
        <v>39</v>
      </c>
      <c r="BL131" s="1">
        <v>35</v>
      </c>
      <c r="BM131" s="1">
        <v>9</v>
      </c>
      <c r="BN131" s="1">
        <v>11</v>
      </c>
      <c r="BO131" s="3">
        <v>288</v>
      </c>
      <c r="BP131" s="3">
        <f t="shared" si="2"/>
        <v>778</v>
      </c>
    </row>
    <row r="132" spans="1:68" x14ac:dyDescent="0.2">
      <c r="A132" s="3">
        <v>85</v>
      </c>
      <c r="B132" t="s">
        <v>139</v>
      </c>
      <c r="C132" s="1">
        <v>0</v>
      </c>
      <c r="D132" s="1">
        <v>1</v>
      </c>
      <c r="E132" s="1">
        <v>0</v>
      </c>
      <c r="F132" s="1">
        <v>1</v>
      </c>
      <c r="G132" s="1">
        <v>0</v>
      </c>
      <c r="H132" s="1">
        <v>0</v>
      </c>
      <c r="I132" s="1">
        <v>0</v>
      </c>
      <c r="J132" s="1">
        <v>0</v>
      </c>
      <c r="K132" s="1">
        <v>0</v>
      </c>
      <c r="L132" s="1">
        <v>2</v>
      </c>
      <c r="M132" s="1">
        <v>0</v>
      </c>
      <c r="N132" s="1">
        <v>0</v>
      </c>
      <c r="O132" s="3">
        <v>4</v>
      </c>
      <c r="P132" s="1">
        <v>0</v>
      </c>
      <c r="Q132" s="1">
        <v>2</v>
      </c>
      <c r="R132" s="1">
        <v>2</v>
      </c>
      <c r="S132" s="1">
        <v>0</v>
      </c>
      <c r="T132" s="1">
        <v>1</v>
      </c>
      <c r="U132" s="1">
        <v>0</v>
      </c>
      <c r="V132" s="1">
        <v>4</v>
      </c>
      <c r="W132" s="1">
        <v>12</v>
      </c>
      <c r="X132" s="1">
        <v>3</v>
      </c>
      <c r="Y132" s="1">
        <v>9</v>
      </c>
      <c r="Z132" s="1">
        <v>12</v>
      </c>
      <c r="AA132" s="1">
        <v>1</v>
      </c>
      <c r="AB132" s="3">
        <v>46</v>
      </c>
      <c r="AC132" s="1">
        <v>3</v>
      </c>
      <c r="AD132" s="1">
        <v>4</v>
      </c>
      <c r="AE132" s="1">
        <v>3</v>
      </c>
      <c r="AF132" s="1">
        <v>13</v>
      </c>
      <c r="AG132" s="1">
        <v>7</v>
      </c>
      <c r="AH132" s="1">
        <v>5</v>
      </c>
      <c r="AI132" s="1">
        <v>20</v>
      </c>
      <c r="AJ132" s="1">
        <v>16</v>
      </c>
      <c r="AK132" s="1">
        <v>5</v>
      </c>
      <c r="AL132" s="1">
        <v>14</v>
      </c>
      <c r="AM132" s="1">
        <v>4</v>
      </c>
      <c r="AN132" s="1">
        <v>7</v>
      </c>
      <c r="AO132" s="3">
        <v>101</v>
      </c>
      <c r="AP132" s="1">
        <v>3</v>
      </c>
      <c r="AQ132" s="1">
        <v>8</v>
      </c>
      <c r="AR132" s="1">
        <v>13</v>
      </c>
      <c r="AS132" s="1">
        <v>8</v>
      </c>
      <c r="AT132" s="1">
        <v>10</v>
      </c>
      <c r="AU132" s="1">
        <v>2</v>
      </c>
      <c r="AV132" s="1">
        <v>14</v>
      </c>
      <c r="AW132" s="1">
        <v>19</v>
      </c>
      <c r="AX132" s="1">
        <v>5</v>
      </c>
      <c r="AY132" s="1">
        <v>8</v>
      </c>
      <c r="AZ132" s="1">
        <v>9</v>
      </c>
      <c r="BA132" s="1">
        <v>7</v>
      </c>
      <c r="BB132" s="3">
        <v>106</v>
      </c>
      <c r="BC132" s="1">
        <v>11</v>
      </c>
      <c r="BD132" s="1">
        <v>3</v>
      </c>
      <c r="BE132" s="1">
        <v>5</v>
      </c>
      <c r="BF132" s="1">
        <v>6</v>
      </c>
      <c r="BG132" s="1">
        <v>8</v>
      </c>
      <c r="BH132" s="1">
        <v>14</v>
      </c>
      <c r="BI132" s="1">
        <v>12</v>
      </c>
      <c r="BJ132" s="1">
        <v>26</v>
      </c>
      <c r="BK132" s="1">
        <v>7</v>
      </c>
      <c r="BL132" s="1">
        <v>11</v>
      </c>
      <c r="BM132" s="1">
        <v>7</v>
      </c>
      <c r="BN132" s="1">
        <v>7</v>
      </c>
      <c r="BO132" s="3">
        <v>117</v>
      </c>
      <c r="BP132" s="3">
        <f t="shared" si="2"/>
        <v>374</v>
      </c>
    </row>
    <row r="133" spans="1:68" x14ac:dyDescent="0.2">
      <c r="A133" s="3">
        <v>86</v>
      </c>
      <c r="B133" t="s">
        <v>140</v>
      </c>
      <c r="C133" s="1">
        <v>0</v>
      </c>
      <c r="D133" s="1">
        <v>0</v>
      </c>
      <c r="E133" s="1">
        <v>0</v>
      </c>
      <c r="F133" s="1">
        <v>0</v>
      </c>
      <c r="G133" s="1">
        <v>0</v>
      </c>
      <c r="H133" s="1">
        <v>0</v>
      </c>
      <c r="I133" s="1">
        <v>0</v>
      </c>
      <c r="J133" s="1">
        <v>0</v>
      </c>
      <c r="K133" s="1">
        <v>0</v>
      </c>
      <c r="L133" s="1">
        <v>0</v>
      </c>
      <c r="M133" s="1">
        <v>2</v>
      </c>
      <c r="N133" s="1">
        <v>0</v>
      </c>
      <c r="O133" s="3">
        <v>2</v>
      </c>
      <c r="P133" s="1">
        <v>0</v>
      </c>
      <c r="Q133" s="1">
        <v>1</v>
      </c>
      <c r="R133" s="1">
        <v>1</v>
      </c>
      <c r="S133" s="1">
        <v>1</v>
      </c>
      <c r="T133" s="1">
        <v>2</v>
      </c>
      <c r="U133" s="1">
        <v>3</v>
      </c>
      <c r="V133" s="1">
        <v>11</v>
      </c>
      <c r="W133" s="1">
        <v>12</v>
      </c>
      <c r="X133" s="1">
        <v>8</v>
      </c>
      <c r="Y133" s="1">
        <v>5</v>
      </c>
      <c r="Z133" s="1">
        <v>5</v>
      </c>
      <c r="AA133" s="1">
        <v>11</v>
      </c>
      <c r="AB133" s="3">
        <v>60</v>
      </c>
      <c r="AC133" s="1">
        <v>4</v>
      </c>
      <c r="AD133" s="1">
        <v>7</v>
      </c>
      <c r="AE133" s="1">
        <v>5</v>
      </c>
      <c r="AF133" s="1">
        <v>27</v>
      </c>
      <c r="AG133" s="1">
        <v>22</v>
      </c>
      <c r="AH133" s="1">
        <v>13</v>
      </c>
      <c r="AI133" s="1">
        <v>28</v>
      </c>
      <c r="AJ133" s="1">
        <v>37</v>
      </c>
      <c r="AK133" s="1">
        <v>22</v>
      </c>
      <c r="AL133" s="1">
        <v>37</v>
      </c>
      <c r="AM133" s="1">
        <v>9</v>
      </c>
      <c r="AN133" s="1">
        <v>13</v>
      </c>
      <c r="AO133" s="3">
        <v>224</v>
      </c>
      <c r="AP133" s="1">
        <v>8</v>
      </c>
      <c r="AQ133" s="1">
        <v>14</v>
      </c>
      <c r="AR133" s="1">
        <v>13</v>
      </c>
      <c r="AS133" s="1">
        <v>18</v>
      </c>
      <c r="AT133" s="1">
        <v>24</v>
      </c>
      <c r="AU133" s="1">
        <v>20</v>
      </c>
      <c r="AV133" s="1">
        <v>32</v>
      </c>
      <c r="AW133" s="1">
        <v>44</v>
      </c>
      <c r="AX133" s="1">
        <v>47</v>
      </c>
      <c r="AY133" s="1">
        <v>23</v>
      </c>
      <c r="AZ133" s="1">
        <v>12</v>
      </c>
      <c r="BA133" s="1">
        <v>20</v>
      </c>
      <c r="BB133" s="3">
        <v>275</v>
      </c>
      <c r="BC133" s="1">
        <v>8</v>
      </c>
      <c r="BD133" s="1">
        <v>13</v>
      </c>
      <c r="BE133" s="1">
        <v>12</v>
      </c>
      <c r="BF133" s="1">
        <v>40</v>
      </c>
      <c r="BG133" s="1">
        <v>30</v>
      </c>
      <c r="BH133" s="1">
        <v>26</v>
      </c>
      <c r="BI133" s="1">
        <v>35</v>
      </c>
      <c r="BJ133" s="1">
        <v>86</v>
      </c>
      <c r="BK133" s="1">
        <v>26</v>
      </c>
      <c r="BL133" s="1">
        <v>27</v>
      </c>
      <c r="BM133" s="1">
        <v>17</v>
      </c>
      <c r="BN133" s="1">
        <v>26</v>
      </c>
      <c r="BO133" s="3">
        <v>346</v>
      </c>
      <c r="BP133" s="3">
        <f t="shared" si="2"/>
        <v>907</v>
      </c>
    </row>
    <row r="134" spans="1:68" x14ac:dyDescent="0.2">
      <c r="A134" s="3">
        <v>87</v>
      </c>
      <c r="B134" t="s">
        <v>141</v>
      </c>
      <c r="C134" s="1">
        <v>0</v>
      </c>
      <c r="D134" s="1">
        <v>0</v>
      </c>
      <c r="E134" s="1">
        <v>0</v>
      </c>
      <c r="F134" s="1">
        <v>0</v>
      </c>
      <c r="G134" s="1">
        <v>0</v>
      </c>
      <c r="H134" s="1">
        <v>0</v>
      </c>
      <c r="I134" s="1">
        <v>0</v>
      </c>
      <c r="J134" s="1">
        <v>0</v>
      </c>
      <c r="K134" s="1">
        <v>0</v>
      </c>
      <c r="L134" s="1">
        <v>0</v>
      </c>
      <c r="M134" s="1">
        <v>0</v>
      </c>
      <c r="N134" s="1">
        <v>0</v>
      </c>
      <c r="O134" s="3">
        <v>0</v>
      </c>
      <c r="P134" s="1">
        <v>0</v>
      </c>
      <c r="Q134" s="1">
        <v>2</v>
      </c>
      <c r="R134" s="1">
        <v>4</v>
      </c>
      <c r="S134" s="1">
        <v>0</v>
      </c>
      <c r="T134" s="1">
        <v>0</v>
      </c>
      <c r="U134" s="1">
        <v>1</v>
      </c>
      <c r="V134" s="1">
        <v>10</v>
      </c>
      <c r="W134" s="1">
        <v>1</v>
      </c>
      <c r="X134" s="1">
        <v>6</v>
      </c>
      <c r="Y134" s="1">
        <v>1</v>
      </c>
      <c r="Z134" s="1">
        <v>6</v>
      </c>
      <c r="AA134" s="1">
        <v>1</v>
      </c>
      <c r="AB134" s="3">
        <v>32</v>
      </c>
      <c r="AC134" s="1">
        <v>0</v>
      </c>
      <c r="AD134" s="1">
        <v>2</v>
      </c>
      <c r="AE134" s="1">
        <v>1</v>
      </c>
      <c r="AF134" s="1">
        <v>0</v>
      </c>
      <c r="AG134" s="1">
        <v>4</v>
      </c>
      <c r="AH134" s="1">
        <v>3</v>
      </c>
      <c r="AI134" s="1">
        <v>9</v>
      </c>
      <c r="AJ134" s="1">
        <v>14</v>
      </c>
      <c r="AK134" s="1">
        <v>2</v>
      </c>
      <c r="AL134" s="1">
        <v>8</v>
      </c>
      <c r="AM134" s="1">
        <v>3</v>
      </c>
      <c r="AN134" s="1">
        <v>0</v>
      </c>
      <c r="AO134" s="3">
        <v>46</v>
      </c>
      <c r="AP134" s="1">
        <v>1</v>
      </c>
      <c r="AQ134" s="1">
        <v>4</v>
      </c>
      <c r="AR134" s="1">
        <v>3</v>
      </c>
      <c r="AS134" s="1">
        <v>5</v>
      </c>
      <c r="AT134" s="1">
        <v>9</v>
      </c>
      <c r="AU134" s="1">
        <v>3</v>
      </c>
      <c r="AV134" s="1">
        <v>7</v>
      </c>
      <c r="AW134" s="1">
        <v>25</v>
      </c>
      <c r="AX134" s="1">
        <v>14</v>
      </c>
      <c r="AY134" s="1">
        <v>2</v>
      </c>
      <c r="AZ134" s="1">
        <v>2</v>
      </c>
      <c r="BA134" s="1">
        <v>0</v>
      </c>
      <c r="BB134" s="3">
        <v>75</v>
      </c>
      <c r="BC134" s="1">
        <v>3</v>
      </c>
      <c r="BD134" s="1">
        <v>3</v>
      </c>
      <c r="BE134" s="1">
        <v>0</v>
      </c>
      <c r="BF134" s="1">
        <v>3</v>
      </c>
      <c r="BG134" s="1">
        <v>4</v>
      </c>
      <c r="BH134" s="1">
        <v>8</v>
      </c>
      <c r="BI134" s="1">
        <v>11</v>
      </c>
      <c r="BJ134" s="1">
        <v>22</v>
      </c>
      <c r="BK134" s="1">
        <v>7</v>
      </c>
      <c r="BL134" s="1">
        <v>2</v>
      </c>
      <c r="BM134" s="1">
        <v>4</v>
      </c>
      <c r="BN134" s="1">
        <v>2</v>
      </c>
      <c r="BO134" s="3">
        <v>69</v>
      </c>
      <c r="BP134" s="3">
        <f t="shared" ref="BP134:BP197" si="3">SUM($BO134,$BB134,$AO134,$AB134,$O134)</f>
        <v>222</v>
      </c>
    </row>
    <row r="135" spans="1:68" x14ac:dyDescent="0.2">
      <c r="A135" s="3">
        <v>88</v>
      </c>
      <c r="B135" t="s">
        <v>142</v>
      </c>
      <c r="C135" s="1">
        <v>0</v>
      </c>
      <c r="D135" s="1">
        <v>0</v>
      </c>
      <c r="E135" s="1">
        <v>0</v>
      </c>
      <c r="F135" s="1">
        <v>0</v>
      </c>
      <c r="G135" s="1">
        <v>0</v>
      </c>
      <c r="H135" s="1">
        <v>0</v>
      </c>
      <c r="I135" s="1">
        <v>0</v>
      </c>
      <c r="J135" s="1">
        <v>0</v>
      </c>
      <c r="K135" s="1">
        <v>0</v>
      </c>
      <c r="L135" s="1">
        <v>0</v>
      </c>
      <c r="M135" s="1">
        <v>0</v>
      </c>
      <c r="N135" s="1">
        <v>0</v>
      </c>
      <c r="O135" s="3">
        <v>0</v>
      </c>
      <c r="P135" s="1">
        <v>0</v>
      </c>
      <c r="Q135" s="1">
        <v>0</v>
      </c>
      <c r="R135" s="1">
        <v>0</v>
      </c>
      <c r="S135" s="1">
        <v>1</v>
      </c>
      <c r="T135" s="1">
        <v>0</v>
      </c>
      <c r="U135" s="1">
        <v>0</v>
      </c>
      <c r="V135" s="1">
        <v>0</v>
      </c>
      <c r="W135" s="1">
        <v>0</v>
      </c>
      <c r="X135" s="1">
        <v>0</v>
      </c>
      <c r="Y135" s="1">
        <v>0</v>
      </c>
      <c r="Z135" s="1">
        <v>0</v>
      </c>
      <c r="AA135" s="1">
        <v>0</v>
      </c>
      <c r="AB135" s="3">
        <v>1</v>
      </c>
      <c r="AC135" s="1">
        <v>1</v>
      </c>
      <c r="AD135" s="1">
        <v>0</v>
      </c>
      <c r="AE135" s="1">
        <v>9</v>
      </c>
      <c r="AF135" s="1">
        <v>3</v>
      </c>
      <c r="AG135" s="1">
        <v>9</v>
      </c>
      <c r="AH135" s="1">
        <v>6</v>
      </c>
      <c r="AI135" s="1">
        <v>2</v>
      </c>
      <c r="AJ135" s="1">
        <v>10</v>
      </c>
      <c r="AK135" s="1">
        <v>3</v>
      </c>
      <c r="AL135" s="1">
        <v>23</v>
      </c>
      <c r="AM135" s="1">
        <v>30</v>
      </c>
      <c r="AN135" s="1">
        <v>17</v>
      </c>
      <c r="AO135" s="3">
        <v>113</v>
      </c>
      <c r="AP135" s="1">
        <v>1</v>
      </c>
      <c r="AQ135" s="1">
        <v>2</v>
      </c>
      <c r="AR135" s="1">
        <v>28</v>
      </c>
      <c r="AS135" s="1">
        <v>5</v>
      </c>
      <c r="AT135" s="1">
        <v>5</v>
      </c>
      <c r="AU135" s="1">
        <v>1</v>
      </c>
      <c r="AV135" s="1">
        <v>6</v>
      </c>
      <c r="AW135" s="1">
        <v>9</v>
      </c>
      <c r="AX135" s="1">
        <v>8</v>
      </c>
      <c r="AY135" s="1">
        <v>3</v>
      </c>
      <c r="AZ135" s="1">
        <v>6</v>
      </c>
      <c r="BA135" s="1">
        <v>6</v>
      </c>
      <c r="BB135" s="3">
        <v>80</v>
      </c>
      <c r="BC135" s="1">
        <v>0</v>
      </c>
      <c r="BD135" s="1">
        <v>1</v>
      </c>
      <c r="BE135" s="1">
        <v>4</v>
      </c>
      <c r="BF135" s="1">
        <v>6</v>
      </c>
      <c r="BG135" s="1">
        <v>3</v>
      </c>
      <c r="BH135" s="1">
        <v>1</v>
      </c>
      <c r="BI135" s="1">
        <v>2</v>
      </c>
      <c r="BJ135" s="1">
        <v>3</v>
      </c>
      <c r="BK135" s="1">
        <v>1</v>
      </c>
      <c r="BL135" s="1">
        <v>2</v>
      </c>
      <c r="BM135" s="1">
        <v>3</v>
      </c>
      <c r="BN135" s="1">
        <v>2</v>
      </c>
      <c r="BO135" s="3">
        <v>28</v>
      </c>
      <c r="BP135" s="3">
        <f t="shared" si="3"/>
        <v>222</v>
      </c>
    </row>
    <row r="136" spans="1:68" x14ac:dyDescent="0.2">
      <c r="A136" s="3">
        <v>89</v>
      </c>
      <c r="B136" t="s">
        <v>143</v>
      </c>
      <c r="C136" s="1">
        <v>0</v>
      </c>
      <c r="D136" s="1">
        <v>0</v>
      </c>
      <c r="E136" s="1">
        <v>0</v>
      </c>
      <c r="F136" s="1">
        <v>0</v>
      </c>
      <c r="G136" s="1">
        <v>0</v>
      </c>
      <c r="H136" s="1">
        <v>0</v>
      </c>
      <c r="I136" s="1">
        <v>0</v>
      </c>
      <c r="J136" s="1">
        <v>0</v>
      </c>
      <c r="K136" s="1">
        <v>0</v>
      </c>
      <c r="L136" s="1">
        <v>0</v>
      </c>
      <c r="M136" s="1">
        <v>0</v>
      </c>
      <c r="N136" s="1">
        <v>0</v>
      </c>
      <c r="O136" s="3">
        <v>0</v>
      </c>
      <c r="P136" s="1">
        <v>0</v>
      </c>
      <c r="Q136" s="1">
        <v>0</v>
      </c>
      <c r="R136" s="1">
        <v>0</v>
      </c>
      <c r="S136" s="1">
        <v>0</v>
      </c>
      <c r="T136" s="1">
        <v>0</v>
      </c>
      <c r="U136" s="1">
        <v>0</v>
      </c>
      <c r="V136" s="1">
        <v>0</v>
      </c>
      <c r="W136" s="1">
        <v>0</v>
      </c>
      <c r="X136" s="1">
        <v>0</v>
      </c>
      <c r="Y136" s="1">
        <v>0</v>
      </c>
      <c r="Z136" s="1">
        <v>0</v>
      </c>
      <c r="AA136" s="1">
        <v>0</v>
      </c>
      <c r="AB136" s="3">
        <v>0</v>
      </c>
      <c r="AC136" s="1">
        <v>0</v>
      </c>
      <c r="AD136" s="1">
        <v>0</v>
      </c>
      <c r="AE136" s="1">
        <v>0</v>
      </c>
      <c r="AF136" s="1">
        <v>0</v>
      </c>
      <c r="AG136" s="1">
        <v>0</v>
      </c>
      <c r="AH136" s="1">
        <v>0</v>
      </c>
      <c r="AI136" s="1">
        <v>0</v>
      </c>
      <c r="AJ136" s="1">
        <v>0</v>
      </c>
      <c r="AK136" s="1">
        <v>0</v>
      </c>
      <c r="AL136" s="1">
        <v>0</v>
      </c>
      <c r="AM136" s="1">
        <v>0</v>
      </c>
      <c r="AN136" s="1">
        <v>0</v>
      </c>
      <c r="AO136" s="3">
        <v>0</v>
      </c>
      <c r="AP136" s="1">
        <v>0</v>
      </c>
      <c r="AQ136" s="1">
        <v>0</v>
      </c>
      <c r="AR136" s="1">
        <v>0</v>
      </c>
      <c r="AS136" s="1">
        <v>0</v>
      </c>
      <c r="AT136" s="1">
        <v>0</v>
      </c>
      <c r="AU136" s="1">
        <v>0</v>
      </c>
      <c r="AV136" s="1">
        <v>0</v>
      </c>
      <c r="AW136" s="1">
        <v>0</v>
      </c>
      <c r="AX136" s="1">
        <v>0</v>
      </c>
      <c r="AY136" s="1">
        <v>0</v>
      </c>
      <c r="AZ136" s="1">
        <v>0</v>
      </c>
      <c r="BA136" s="1">
        <v>0</v>
      </c>
      <c r="BB136" s="3">
        <v>0</v>
      </c>
      <c r="BC136" s="1">
        <v>0</v>
      </c>
      <c r="BD136" s="1">
        <v>0</v>
      </c>
      <c r="BE136" s="1">
        <v>0</v>
      </c>
      <c r="BF136" s="1">
        <v>0</v>
      </c>
      <c r="BG136" s="1">
        <v>0</v>
      </c>
      <c r="BH136" s="1">
        <v>0</v>
      </c>
      <c r="BI136" s="1">
        <v>0</v>
      </c>
      <c r="BJ136" s="1">
        <v>0</v>
      </c>
      <c r="BK136" s="1">
        <v>0</v>
      </c>
      <c r="BL136" s="1">
        <v>0</v>
      </c>
      <c r="BM136" s="1">
        <v>0</v>
      </c>
      <c r="BN136" s="1">
        <v>0</v>
      </c>
      <c r="BO136" s="3">
        <v>0</v>
      </c>
      <c r="BP136" s="3">
        <f t="shared" si="3"/>
        <v>0</v>
      </c>
    </row>
    <row r="137" spans="1:68" x14ac:dyDescent="0.2">
      <c r="A137" s="3">
        <v>90</v>
      </c>
      <c r="B137" t="s">
        <v>144</v>
      </c>
      <c r="C137" s="1">
        <v>1</v>
      </c>
      <c r="D137" s="1">
        <v>0</v>
      </c>
      <c r="E137" s="1">
        <v>0</v>
      </c>
      <c r="F137" s="1">
        <v>0</v>
      </c>
      <c r="G137" s="1">
        <v>0</v>
      </c>
      <c r="H137" s="1">
        <v>0</v>
      </c>
      <c r="I137" s="1">
        <v>1</v>
      </c>
      <c r="J137" s="1">
        <v>0</v>
      </c>
      <c r="K137" s="1">
        <v>0</v>
      </c>
      <c r="L137" s="1">
        <v>0</v>
      </c>
      <c r="M137" s="1">
        <v>0</v>
      </c>
      <c r="N137" s="1">
        <v>0</v>
      </c>
      <c r="O137" s="3">
        <v>2</v>
      </c>
      <c r="P137" s="1">
        <v>1</v>
      </c>
      <c r="Q137" s="1">
        <v>0</v>
      </c>
      <c r="R137" s="1">
        <v>0</v>
      </c>
      <c r="S137" s="1">
        <v>0</v>
      </c>
      <c r="T137" s="1">
        <v>1</v>
      </c>
      <c r="U137" s="1">
        <v>1</v>
      </c>
      <c r="V137" s="1">
        <v>1</v>
      </c>
      <c r="W137" s="1">
        <v>2</v>
      </c>
      <c r="X137" s="1">
        <v>2</v>
      </c>
      <c r="Y137" s="1">
        <v>1</v>
      </c>
      <c r="Z137" s="1">
        <v>1</v>
      </c>
      <c r="AA137" s="1">
        <v>1</v>
      </c>
      <c r="AB137" s="3">
        <v>11</v>
      </c>
      <c r="AC137" s="1">
        <v>1</v>
      </c>
      <c r="AD137" s="1">
        <v>2</v>
      </c>
      <c r="AE137" s="1">
        <v>1</v>
      </c>
      <c r="AF137" s="1">
        <v>0</v>
      </c>
      <c r="AG137" s="1">
        <v>0</v>
      </c>
      <c r="AH137" s="1">
        <v>1</v>
      </c>
      <c r="AI137" s="1">
        <v>0</v>
      </c>
      <c r="AJ137" s="1">
        <v>2</v>
      </c>
      <c r="AK137" s="1">
        <v>0</v>
      </c>
      <c r="AL137" s="1">
        <v>1</v>
      </c>
      <c r="AM137" s="1">
        <v>0</v>
      </c>
      <c r="AN137" s="1">
        <v>1</v>
      </c>
      <c r="AO137" s="3">
        <v>9</v>
      </c>
      <c r="AP137" s="1">
        <v>2</v>
      </c>
      <c r="AQ137" s="1">
        <v>1</v>
      </c>
      <c r="AR137" s="1">
        <v>0</v>
      </c>
      <c r="AS137" s="1">
        <v>1</v>
      </c>
      <c r="AT137" s="1">
        <v>4</v>
      </c>
      <c r="AU137" s="1">
        <v>5</v>
      </c>
      <c r="AV137" s="1">
        <v>0</v>
      </c>
      <c r="AW137" s="1">
        <v>9</v>
      </c>
      <c r="AX137" s="1">
        <v>16</v>
      </c>
      <c r="AY137" s="1">
        <v>0</v>
      </c>
      <c r="AZ137" s="1">
        <v>1</v>
      </c>
      <c r="BA137" s="1">
        <v>0</v>
      </c>
      <c r="BB137" s="3">
        <v>39</v>
      </c>
      <c r="BC137" s="1">
        <v>3</v>
      </c>
      <c r="BD137" s="1">
        <v>0</v>
      </c>
      <c r="BE137" s="1">
        <v>0</v>
      </c>
      <c r="BF137" s="1">
        <v>1</v>
      </c>
      <c r="BG137" s="1">
        <v>0</v>
      </c>
      <c r="BH137" s="1">
        <v>1</v>
      </c>
      <c r="BI137" s="1">
        <v>0</v>
      </c>
      <c r="BJ137" s="1">
        <v>1</v>
      </c>
      <c r="BK137" s="1">
        <v>1</v>
      </c>
      <c r="BL137" s="1">
        <v>0</v>
      </c>
      <c r="BM137" s="1">
        <v>0</v>
      </c>
      <c r="BN137" s="1">
        <v>0</v>
      </c>
      <c r="BO137" s="3">
        <v>7</v>
      </c>
      <c r="BP137" s="3">
        <f t="shared" si="3"/>
        <v>68</v>
      </c>
    </row>
    <row r="138" spans="1:68" x14ac:dyDescent="0.2">
      <c r="A138" s="3">
        <v>91</v>
      </c>
      <c r="B138" t="s">
        <v>145</v>
      </c>
      <c r="C138" s="1">
        <v>0</v>
      </c>
      <c r="D138" s="1">
        <v>0</v>
      </c>
      <c r="E138" s="1">
        <v>0</v>
      </c>
      <c r="F138" s="1">
        <v>0</v>
      </c>
      <c r="G138" s="1">
        <v>0</v>
      </c>
      <c r="H138" s="1">
        <v>0</v>
      </c>
      <c r="I138" s="1">
        <v>0</v>
      </c>
      <c r="J138" s="1">
        <v>0</v>
      </c>
      <c r="K138" s="1">
        <v>0</v>
      </c>
      <c r="L138" s="1">
        <v>0</v>
      </c>
      <c r="M138" s="1">
        <v>0</v>
      </c>
      <c r="N138" s="1">
        <v>0</v>
      </c>
      <c r="O138" s="3">
        <v>0</v>
      </c>
      <c r="P138" s="1">
        <v>0</v>
      </c>
      <c r="Q138" s="1">
        <v>0</v>
      </c>
      <c r="R138" s="1">
        <v>0</v>
      </c>
      <c r="S138" s="1">
        <v>0</v>
      </c>
      <c r="T138" s="1">
        <v>0</v>
      </c>
      <c r="U138" s="1">
        <v>0</v>
      </c>
      <c r="V138" s="1">
        <v>0</v>
      </c>
      <c r="W138" s="1">
        <v>0</v>
      </c>
      <c r="X138" s="1">
        <v>0</v>
      </c>
      <c r="Y138" s="1">
        <v>0</v>
      </c>
      <c r="Z138" s="1">
        <v>0</v>
      </c>
      <c r="AA138" s="1">
        <v>0</v>
      </c>
      <c r="AB138" s="3">
        <v>0</v>
      </c>
      <c r="AC138" s="1">
        <v>0</v>
      </c>
      <c r="AD138" s="1">
        <v>0</v>
      </c>
      <c r="AE138" s="1">
        <v>0</v>
      </c>
      <c r="AF138" s="1">
        <v>0</v>
      </c>
      <c r="AG138" s="1">
        <v>0</v>
      </c>
      <c r="AH138" s="1">
        <v>0</v>
      </c>
      <c r="AI138" s="1">
        <v>0</v>
      </c>
      <c r="AJ138" s="1">
        <v>0</v>
      </c>
      <c r="AK138" s="1">
        <v>0</v>
      </c>
      <c r="AL138" s="1">
        <v>0</v>
      </c>
      <c r="AM138" s="1">
        <v>0</v>
      </c>
      <c r="AN138" s="1">
        <v>0</v>
      </c>
      <c r="AO138" s="3">
        <v>0</v>
      </c>
      <c r="AP138" s="1">
        <v>0</v>
      </c>
      <c r="AQ138" s="1">
        <v>0</v>
      </c>
      <c r="AR138" s="1">
        <v>0</v>
      </c>
      <c r="AS138" s="1">
        <v>0</v>
      </c>
      <c r="AT138" s="1">
        <v>0</v>
      </c>
      <c r="AU138" s="1">
        <v>0</v>
      </c>
      <c r="AV138" s="1">
        <v>0</v>
      </c>
      <c r="AW138" s="1">
        <v>0</v>
      </c>
      <c r="AX138" s="1">
        <v>0</v>
      </c>
      <c r="AY138" s="1">
        <v>0</v>
      </c>
      <c r="AZ138" s="1">
        <v>0</v>
      </c>
      <c r="BA138" s="1">
        <v>0</v>
      </c>
      <c r="BB138" s="3">
        <v>0</v>
      </c>
      <c r="BC138" s="1">
        <v>0</v>
      </c>
      <c r="BD138" s="1">
        <v>0</v>
      </c>
      <c r="BE138" s="1">
        <v>0</v>
      </c>
      <c r="BF138" s="1">
        <v>0</v>
      </c>
      <c r="BG138" s="1">
        <v>0</v>
      </c>
      <c r="BH138" s="1">
        <v>0</v>
      </c>
      <c r="BI138" s="1">
        <v>0</v>
      </c>
      <c r="BJ138" s="1">
        <v>0</v>
      </c>
      <c r="BK138" s="1">
        <v>0</v>
      </c>
      <c r="BL138" s="1">
        <v>0</v>
      </c>
      <c r="BM138" s="1">
        <v>0</v>
      </c>
      <c r="BN138" s="1">
        <v>0</v>
      </c>
      <c r="BO138" s="3">
        <v>0</v>
      </c>
      <c r="BP138" s="3">
        <f t="shared" si="3"/>
        <v>0</v>
      </c>
    </row>
    <row r="139" spans="1:68" x14ac:dyDescent="0.2">
      <c r="A139" s="3">
        <v>92</v>
      </c>
      <c r="B139" t="s">
        <v>146</v>
      </c>
      <c r="C139" s="1">
        <v>0</v>
      </c>
      <c r="D139" s="1">
        <v>0</v>
      </c>
      <c r="E139" s="1">
        <v>0</v>
      </c>
      <c r="F139" s="1">
        <v>0</v>
      </c>
      <c r="G139" s="1">
        <v>0</v>
      </c>
      <c r="H139" s="1">
        <v>0</v>
      </c>
      <c r="I139" s="1">
        <v>0</v>
      </c>
      <c r="J139" s="1">
        <v>0</v>
      </c>
      <c r="K139" s="1">
        <v>0</v>
      </c>
      <c r="L139" s="1">
        <v>0</v>
      </c>
      <c r="M139" s="1">
        <v>0</v>
      </c>
      <c r="N139" s="1">
        <v>0</v>
      </c>
      <c r="O139" s="3">
        <v>0</v>
      </c>
      <c r="P139" s="1">
        <v>0</v>
      </c>
      <c r="Q139" s="1">
        <v>0</v>
      </c>
      <c r="R139" s="1">
        <v>0</v>
      </c>
      <c r="S139" s="1">
        <v>0</v>
      </c>
      <c r="T139" s="1">
        <v>0</v>
      </c>
      <c r="U139" s="1">
        <v>0</v>
      </c>
      <c r="V139" s="1">
        <v>0</v>
      </c>
      <c r="W139" s="1">
        <v>0</v>
      </c>
      <c r="X139" s="1">
        <v>0</v>
      </c>
      <c r="Y139" s="1">
        <v>0</v>
      </c>
      <c r="Z139" s="1">
        <v>0</v>
      </c>
      <c r="AA139" s="1">
        <v>0</v>
      </c>
      <c r="AB139" s="3">
        <v>0</v>
      </c>
      <c r="AC139" s="1">
        <v>0</v>
      </c>
      <c r="AD139" s="1">
        <v>0</v>
      </c>
      <c r="AE139" s="1">
        <v>0</v>
      </c>
      <c r="AF139" s="1">
        <v>0</v>
      </c>
      <c r="AG139" s="1">
        <v>0</v>
      </c>
      <c r="AH139" s="1">
        <v>0</v>
      </c>
      <c r="AI139" s="1">
        <v>0</v>
      </c>
      <c r="AJ139" s="1">
        <v>0</v>
      </c>
      <c r="AK139" s="1">
        <v>0</v>
      </c>
      <c r="AL139" s="1">
        <v>0</v>
      </c>
      <c r="AM139" s="1">
        <v>0</v>
      </c>
      <c r="AN139" s="1">
        <v>0</v>
      </c>
      <c r="AO139" s="3">
        <v>0</v>
      </c>
      <c r="AP139" s="1">
        <v>0</v>
      </c>
      <c r="AQ139" s="1">
        <v>0</v>
      </c>
      <c r="AR139" s="1">
        <v>0</v>
      </c>
      <c r="AS139" s="1">
        <v>0</v>
      </c>
      <c r="AT139" s="1">
        <v>0</v>
      </c>
      <c r="AU139" s="1">
        <v>0</v>
      </c>
      <c r="AV139" s="1">
        <v>0</v>
      </c>
      <c r="AW139" s="1">
        <v>0</v>
      </c>
      <c r="AX139" s="1">
        <v>0</v>
      </c>
      <c r="AY139" s="1">
        <v>0</v>
      </c>
      <c r="AZ139" s="1">
        <v>0</v>
      </c>
      <c r="BA139" s="1">
        <v>0</v>
      </c>
      <c r="BB139" s="3">
        <v>0</v>
      </c>
      <c r="BC139" s="1">
        <v>0</v>
      </c>
      <c r="BD139" s="1">
        <v>0</v>
      </c>
      <c r="BE139" s="1">
        <v>0</v>
      </c>
      <c r="BF139" s="1">
        <v>0</v>
      </c>
      <c r="BG139" s="1">
        <v>0</v>
      </c>
      <c r="BH139" s="1">
        <v>0</v>
      </c>
      <c r="BI139" s="1">
        <v>0</v>
      </c>
      <c r="BJ139" s="1">
        <v>0</v>
      </c>
      <c r="BK139" s="1">
        <v>0</v>
      </c>
      <c r="BL139" s="1">
        <v>0</v>
      </c>
      <c r="BM139" s="1">
        <v>0</v>
      </c>
      <c r="BN139" s="1">
        <v>0</v>
      </c>
      <c r="BO139" s="3">
        <v>0</v>
      </c>
      <c r="BP139" s="3">
        <f t="shared" si="3"/>
        <v>0</v>
      </c>
    </row>
    <row r="140" spans="1:68" x14ac:dyDescent="0.2">
      <c r="A140" s="3">
        <v>93</v>
      </c>
      <c r="B140" t="s">
        <v>147</v>
      </c>
      <c r="C140" s="1">
        <v>0</v>
      </c>
      <c r="D140" s="1">
        <v>0</v>
      </c>
      <c r="E140" s="1">
        <v>0</v>
      </c>
      <c r="F140" s="1">
        <v>0</v>
      </c>
      <c r="G140" s="1">
        <v>0</v>
      </c>
      <c r="H140" s="1">
        <v>0</v>
      </c>
      <c r="I140" s="1">
        <v>0</v>
      </c>
      <c r="J140" s="1">
        <v>0</v>
      </c>
      <c r="K140" s="1">
        <v>0</v>
      </c>
      <c r="L140" s="1">
        <v>0</v>
      </c>
      <c r="M140" s="1">
        <v>0</v>
      </c>
      <c r="N140" s="1">
        <v>0</v>
      </c>
      <c r="O140" s="3">
        <v>0</v>
      </c>
      <c r="P140" s="1">
        <v>0</v>
      </c>
      <c r="Q140" s="1">
        <v>0</v>
      </c>
      <c r="R140" s="1">
        <v>0</v>
      </c>
      <c r="S140" s="1">
        <v>0</v>
      </c>
      <c r="T140" s="1">
        <v>0</v>
      </c>
      <c r="U140" s="1">
        <v>0</v>
      </c>
      <c r="V140" s="1">
        <v>0</v>
      </c>
      <c r="W140" s="1">
        <v>0</v>
      </c>
      <c r="X140" s="1">
        <v>0</v>
      </c>
      <c r="Y140" s="1">
        <v>0</v>
      </c>
      <c r="Z140" s="1">
        <v>0</v>
      </c>
      <c r="AA140" s="1">
        <v>0</v>
      </c>
      <c r="AB140" s="3">
        <v>0</v>
      </c>
      <c r="AC140" s="1">
        <v>0</v>
      </c>
      <c r="AD140" s="1">
        <v>0</v>
      </c>
      <c r="AE140" s="1">
        <v>0</v>
      </c>
      <c r="AF140" s="1">
        <v>0</v>
      </c>
      <c r="AG140" s="1">
        <v>0</v>
      </c>
      <c r="AH140" s="1">
        <v>0</v>
      </c>
      <c r="AI140" s="1">
        <v>0</v>
      </c>
      <c r="AJ140" s="1">
        <v>0</v>
      </c>
      <c r="AK140" s="1">
        <v>0</v>
      </c>
      <c r="AL140" s="1">
        <v>0</v>
      </c>
      <c r="AM140" s="1">
        <v>0</v>
      </c>
      <c r="AN140" s="1">
        <v>0</v>
      </c>
      <c r="AO140" s="3">
        <v>0</v>
      </c>
      <c r="AP140" s="1">
        <v>0</v>
      </c>
      <c r="AQ140" s="1">
        <v>0</v>
      </c>
      <c r="AR140" s="1">
        <v>0</v>
      </c>
      <c r="AS140" s="1">
        <v>0</v>
      </c>
      <c r="AT140" s="1">
        <v>0</v>
      </c>
      <c r="AU140" s="1">
        <v>0</v>
      </c>
      <c r="AV140" s="1">
        <v>0</v>
      </c>
      <c r="AW140" s="1">
        <v>0</v>
      </c>
      <c r="AX140" s="1">
        <v>0</v>
      </c>
      <c r="AY140" s="1">
        <v>0</v>
      </c>
      <c r="AZ140" s="1">
        <v>0</v>
      </c>
      <c r="BA140" s="1">
        <v>0</v>
      </c>
      <c r="BB140" s="3">
        <v>0</v>
      </c>
      <c r="BC140" s="1">
        <v>0</v>
      </c>
      <c r="BD140" s="1">
        <v>0</v>
      </c>
      <c r="BE140" s="1">
        <v>0</v>
      </c>
      <c r="BF140" s="1">
        <v>0</v>
      </c>
      <c r="BG140" s="1">
        <v>0</v>
      </c>
      <c r="BH140" s="1">
        <v>0</v>
      </c>
      <c r="BI140" s="1">
        <v>0</v>
      </c>
      <c r="BJ140" s="1">
        <v>0</v>
      </c>
      <c r="BK140" s="1">
        <v>0</v>
      </c>
      <c r="BL140" s="1">
        <v>0</v>
      </c>
      <c r="BM140" s="1">
        <v>0</v>
      </c>
      <c r="BN140" s="1">
        <v>0</v>
      </c>
      <c r="BO140" s="3">
        <v>0</v>
      </c>
      <c r="BP140" s="3">
        <f t="shared" si="3"/>
        <v>0</v>
      </c>
    </row>
    <row r="141" spans="1:68" x14ac:dyDescent="0.2">
      <c r="A141" s="3">
        <v>94</v>
      </c>
      <c r="B141" t="s">
        <v>148</v>
      </c>
      <c r="C141" s="1">
        <v>21</v>
      </c>
      <c r="D141" s="1">
        <v>45</v>
      </c>
      <c r="E141" s="1">
        <v>47</v>
      </c>
      <c r="F141" s="1">
        <v>63</v>
      </c>
      <c r="G141" s="1">
        <v>66</v>
      </c>
      <c r="H141" s="1">
        <v>81</v>
      </c>
      <c r="I141" s="1">
        <v>31</v>
      </c>
      <c r="J141" s="1">
        <v>14</v>
      </c>
      <c r="K141" s="1">
        <v>21</v>
      </c>
      <c r="L141" s="1">
        <v>52</v>
      </c>
      <c r="M141" s="1">
        <v>71</v>
      </c>
      <c r="N141" s="1">
        <v>75</v>
      </c>
      <c r="O141" s="3">
        <v>587</v>
      </c>
      <c r="P141" s="1">
        <v>64</v>
      </c>
      <c r="Q141" s="1">
        <v>86</v>
      </c>
      <c r="R141" s="1">
        <v>126</v>
      </c>
      <c r="S141" s="1">
        <v>266</v>
      </c>
      <c r="T141" s="1">
        <v>343</v>
      </c>
      <c r="U141" s="1">
        <v>488</v>
      </c>
      <c r="V141" s="1">
        <v>738</v>
      </c>
      <c r="W141" s="1">
        <v>1164</v>
      </c>
      <c r="X141" s="1">
        <v>802</v>
      </c>
      <c r="Y141" s="1">
        <v>1003</v>
      </c>
      <c r="Z141" s="1">
        <v>871</v>
      </c>
      <c r="AA141" s="1">
        <v>1164</v>
      </c>
      <c r="AB141" s="3">
        <v>7115</v>
      </c>
      <c r="AC141" s="1">
        <v>978</v>
      </c>
      <c r="AD141" s="1">
        <v>999</v>
      </c>
      <c r="AE141" s="1">
        <v>1267</v>
      </c>
      <c r="AF141" s="1">
        <v>1177</v>
      </c>
      <c r="AG141" s="1">
        <v>1069</v>
      </c>
      <c r="AH141" s="1">
        <v>1362</v>
      </c>
      <c r="AI141" s="1">
        <v>1784</v>
      </c>
      <c r="AJ141" s="1">
        <v>1952</v>
      </c>
      <c r="AK141" s="1">
        <v>1638</v>
      </c>
      <c r="AL141" s="1">
        <v>1818</v>
      </c>
      <c r="AM141" s="1">
        <v>1139</v>
      </c>
      <c r="AN141" s="1">
        <v>1515</v>
      </c>
      <c r="AO141" s="3">
        <v>16698</v>
      </c>
      <c r="AP141" s="1">
        <v>1371</v>
      </c>
      <c r="AQ141" s="1">
        <v>1771</v>
      </c>
      <c r="AR141" s="1">
        <v>1666</v>
      </c>
      <c r="AS141" s="1">
        <v>2174</v>
      </c>
      <c r="AT141" s="1">
        <v>1539</v>
      </c>
      <c r="AU141" s="1">
        <v>1848</v>
      </c>
      <c r="AV141" s="1">
        <v>2718</v>
      </c>
      <c r="AW141" s="1">
        <v>2458</v>
      </c>
      <c r="AX141" s="1">
        <v>2186</v>
      </c>
      <c r="AY141" s="1">
        <v>2241</v>
      </c>
      <c r="AZ141" s="1">
        <v>1497</v>
      </c>
      <c r="BA141" s="1">
        <v>1833</v>
      </c>
      <c r="BB141" s="3">
        <v>23302</v>
      </c>
      <c r="BC141" s="1">
        <v>1523</v>
      </c>
      <c r="BD141" s="1">
        <v>1733</v>
      </c>
      <c r="BE141" s="1">
        <v>1672</v>
      </c>
      <c r="BF141" s="1">
        <v>2164</v>
      </c>
      <c r="BG141" s="1">
        <v>1597</v>
      </c>
      <c r="BH141" s="1">
        <v>2374</v>
      </c>
      <c r="BI141" s="1">
        <v>3345</v>
      </c>
      <c r="BJ141" s="1">
        <v>2988</v>
      </c>
      <c r="BK141" s="1">
        <v>2375</v>
      </c>
      <c r="BL141" s="1">
        <v>2190</v>
      </c>
      <c r="BM141" s="1">
        <v>1658</v>
      </c>
      <c r="BN141" s="1">
        <v>1647</v>
      </c>
      <c r="BO141" s="3">
        <v>25266</v>
      </c>
      <c r="BP141" s="3">
        <f t="shared" si="3"/>
        <v>72968</v>
      </c>
    </row>
    <row r="142" spans="1:68" x14ac:dyDescent="0.2">
      <c r="A142" s="3">
        <v>95</v>
      </c>
      <c r="B142" t="s">
        <v>149</v>
      </c>
      <c r="C142" s="1">
        <v>3</v>
      </c>
      <c r="D142" s="1">
        <v>7</v>
      </c>
      <c r="E142" s="1">
        <v>7</v>
      </c>
      <c r="F142" s="1">
        <v>7</v>
      </c>
      <c r="G142" s="1">
        <v>12</v>
      </c>
      <c r="H142" s="1">
        <v>28</v>
      </c>
      <c r="I142" s="1">
        <v>4</v>
      </c>
      <c r="J142" s="1">
        <v>3</v>
      </c>
      <c r="K142" s="1">
        <v>7</v>
      </c>
      <c r="L142" s="1">
        <v>13</v>
      </c>
      <c r="M142" s="1">
        <v>16</v>
      </c>
      <c r="N142" s="1">
        <v>21</v>
      </c>
      <c r="O142" s="3">
        <v>128</v>
      </c>
      <c r="P142" s="1">
        <v>15</v>
      </c>
      <c r="Q142" s="1">
        <v>5</v>
      </c>
      <c r="R142" s="1">
        <v>16</v>
      </c>
      <c r="S142" s="1">
        <v>27</v>
      </c>
      <c r="T142" s="1">
        <v>48</v>
      </c>
      <c r="U142" s="1">
        <v>90</v>
      </c>
      <c r="V142" s="1">
        <v>123</v>
      </c>
      <c r="W142" s="1">
        <v>180</v>
      </c>
      <c r="X142" s="1">
        <v>181</v>
      </c>
      <c r="Y142" s="1">
        <v>286</v>
      </c>
      <c r="Z142" s="1">
        <v>198</v>
      </c>
      <c r="AA142" s="1">
        <v>248</v>
      </c>
      <c r="AB142" s="3">
        <v>1417</v>
      </c>
      <c r="AC142" s="1">
        <v>257</v>
      </c>
      <c r="AD142" s="1">
        <v>299</v>
      </c>
      <c r="AE142" s="1">
        <v>248</v>
      </c>
      <c r="AF142" s="1">
        <v>364</v>
      </c>
      <c r="AG142" s="1">
        <v>222</v>
      </c>
      <c r="AH142" s="1">
        <v>253</v>
      </c>
      <c r="AI142" s="1">
        <v>346</v>
      </c>
      <c r="AJ142" s="1">
        <v>384</v>
      </c>
      <c r="AK142" s="1">
        <v>347</v>
      </c>
      <c r="AL142" s="1">
        <v>404</v>
      </c>
      <c r="AM142" s="1">
        <v>299</v>
      </c>
      <c r="AN142" s="1">
        <v>304</v>
      </c>
      <c r="AO142" s="3">
        <v>3727</v>
      </c>
      <c r="AP142" s="1">
        <v>336</v>
      </c>
      <c r="AQ142" s="1">
        <v>418</v>
      </c>
      <c r="AR142" s="1">
        <v>294</v>
      </c>
      <c r="AS142" s="1">
        <v>553</v>
      </c>
      <c r="AT142" s="1">
        <v>412</v>
      </c>
      <c r="AU142" s="1">
        <v>459</v>
      </c>
      <c r="AV142" s="1">
        <v>524</v>
      </c>
      <c r="AW142" s="1">
        <v>512</v>
      </c>
      <c r="AX142" s="1">
        <v>428</v>
      </c>
      <c r="AY142" s="1">
        <v>453</v>
      </c>
      <c r="AZ142" s="1">
        <v>294</v>
      </c>
      <c r="BA142" s="1">
        <v>362</v>
      </c>
      <c r="BB142" s="3">
        <v>5045</v>
      </c>
      <c r="BC142" s="1">
        <v>367</v>
      </c>
      <c r="BD142" s="1">
        <v>340</v>
      </c>
      <c r="BE142" s="1">
        <v>358</v>
      </c>
      <c r="BF142" s="1">
        <v>526</v>
      </c>
      <c r="BG142" s="1">
        <v>376</v>
      </c>
      <c r="BH142" s="1">
        <v>611</v>
      </c>
      <c r="BI142" s="1">
        <v>719</v>
      </c>
      <c r="BJ142" s="1">
        <v>611</v>
      </c>
      <c r="BK142" s="1">
        <v>463</v>
      </c>
      <c r="BL142" s="1">
        <v>400</v>
      </c>
      <c r="BM142" s="1">
        <v>330</v>
      </c>
      <c r="BN142" s="1">
        <v>370</v>
      </c>
      <c r="BO142" s="3">
        <v>5471</v>
      </c>
      <c r="BP142" s="3">
        <f t="shared" si="3"/>
        <v>15788</v>
      </c>
    </row>
    <row r="143" spans="1:68" x14ac:dyDescent="0.2">
      <c r="A143" s="3">
        <v>96</v>
      </c>
      <c r="B143" t="s">
        <v>150</v>
      </c>
      <c r="C143" s="1">
        <v>0</v>
      </c>
      <c r="D143" s="1">
        <v>7</v>
      </c>
      <c r="E143" s="1">
        <v>1</v>
      </c>
      <c r="F143" s="1">
        <v>9</v>
      </c>
      <c r="G143" s="1">
        <v>10</v>
      </c>
      <c r="H143" s="1">
        <v>6</v>
      </c>
      <c r="I143" s="1">
        <v>4</v>
      </c>
      <c r="J143" s="1">
        <v>0</v>
      </c>
      <c r="K143" s="1">
        <v>2</v>
      </c>
      <c r="L143" s="1">
        <v>3</v>
      </c>
      <c r="M143" s="1">
        <v>12</v>
      </c>
      <c r="N143" s="1">
        <v>12</v>
      </c>
      <c r="O143" s="3">
        <v>66</v>
      </c>
      <c r="P143" s="1">
        <v>9</v>
      </c>
      <c r="Q143" s="1">
        <v>16</v>
      </c>
      <c r="R143" s="1">
        <v>8</v>
      </c>
      <c r="S143" s="1">
        <v>46</v>
      </c>
      <c r="T143" s="1">
        <v>40</v>
      </c>
      <c r="U143" s="1">
        <v>114</v>
      </c>
      <c r="V143" s="1">
        <v>184</v>
      </c>
      <c r="W143" s="1">
        <v>181</v>
      </c>
      <c r="X143" s="1">
        <v>183</v>
      </c>
      <c r="Y143" s="1">
        <v>203</v>
      </c>
      <c r="Z143" s="1">
        <v>146</v>
      </c>
      <c r="AA143" s="1">
        <v>217</v>
      </c>
      <c r="AB143" s="3">
        <v>1347</v>
      </c>
      <c r="AC143" s="1">
        <v>188</v>
      </c>
      <c r="AD143" s="1">
        <v>180</v>
      </c>
      <c r="AE143" s="1">
        <v>240</v>
      </c>
      <c r="AF143" s="1">
        <v>309</v>
      </c>
      <c r="AG143" s="1">
        <v>161</v>
      </c>
      <c r="AH143" s="1">
        <v>303</v>
      </c>
      <c r="AI143" s="1">
        <v>616</v>
      </c>
      <c r="AJ143" s="1">
        <v>368</v>
      </c>
      <c r="AK143" s="1">
        <v>457</v>
      </c>
      <c r="AL143" s="1">
        <v>535</v>
      </c>
      <c r="AM143" s="1">
        <v>253</v>
      </c>
      <c r="AN143" s="1">
        <v>377</v>
      </c>
      <c r="AO143" s="3">
        <v>3987</v>
      </c>
      <c r="AP143" s="1">
        <v>251</v>
      </c>
      <c r="AQ143" s="1">
        <v>509</v>
      </c>
      <c r="AR143" s="1">
        <v>416</v>
      </c>
      <c r="AS143" s="1">
        <v>674</v>
      </c>
      <c r="AT143" s="1">
        <v>277</v>
      </c>
      <c r="AU143" s="1">
        <v>526</v>
      </c>
      <c r="AV143" s="1">
        <v>1099</v>
      </c>
      <c r="AW143" s="1">
        <v>576</v>
      </c>
      <c r="AX143" s="1">
        <v>667</v>
      </c>
      <c r="AY143" s="1">
        <v>781</v>
      </c>
      <c r="AZ143" s="1">
        <v>322</v>
      </c>
      <c r="BA143" s="1">
        <v>504</v>
      </c>
      <c r="BB143" s="3">
        <v>6602</v>
      </c>
      <c r="BC143" s="1">
        <v>314</v>
      </c>
      <c r="BD143" s="1">
        <v>591</v>
      </c>
      <c r="BE143" s="1">
        <v>384</v>
      </c>
      <c r="BF143" s="1">
        <v>671</v>
      </c>
      <c r="BG143" s="1">
        <v>276</v>
      </c>
      <c r="BH143" s="1">
        <v>570</v>
      </c>
      <c r="BI143" s="1">
        <v>1154</v>
      </c>
      <c r="BJ143" s="1">
        <v>549</v>
      </c>
      <c r="BK143" s="1">
        <v>704</v>
      </c>
      <c r="BL143" s="1">
        <v>638</v>
      </c>
      <c r="BM143" s="1">
        <v>374</v>
      </c>
      <c r="BN143" s="1">
        <v>407</v>
      </c>
      <c r="BO143" s="3">
        <v>6632</v>
      </c>
      <c r="BP143" s="3">
        <f t="shared" si="3"/>
        <v>18634</v>
      </c>
    </row>
    <row r="144" spans="1:68" x14ac:dyDescent="0.2">
      <c r="A144" s="3">
        <v>97</v>
      </c>
      <c r="B144" t="s">
        <v>151</v>
      </c>
      <c r="C144" s="1">
        <v>0</v>
      </c>
      <c r="D144" s="1">
        <v>1</v>
      </c>
      <c r="E144" s="1">
        <v>1</v>
      </c>
      <c r="F144" s="1">
        <v>3</v>
      </c>
      <c r="G144" s="1">
        <v>1</v>
      </c>
      <c r="H144" s="1">
        <v>1</v>
      </c>
      <c r="I144" s="1">
        <v>6</v>
      </c>
      <c r="J144" s="1">
        <v>0</v>
      </c>
      <c r="K144" s="1">
        <v>1</v>
      </c>
      <c r="L144" s="1">
        <v>2</v>
      </c>
      <c r="M144" s="1">
        <v>1</v>
      </c>
      <c r="N144" s="1">
        <v>2</v>
      </c>
      <c r="O144" s="3">
        <v>19</v>
      </c>
      <c r="P144" s="1">
        <v>1</v>
      </c>
      <c r="Q144" s="1">
        <v>7</v>
      </c>
      <c r="R144" s="1">
        <v>8</v>
      </c>
      <c r="S144" s="1">
        <v>20</v>
      </c>
      <c r="T144" s="1">
        <v>33</v>
      </c>
      <c r="U144" s="1">
        <v>40</v>
      </c>
      <c r="V144" s="1">
        <v>29</v>
      </c>
      <c r="W144" s="1">
        <v>43</v>
      </c>
      <c r="X144" s="1">
        <v>53</v>
      </c>
      <c r="Y144" s="1">
        <v>42</v>
      </c>
      <c r="Z144" s="1">
        <v>62</v>
      </c>
      <c r="AA144" s="1">
        <v>163</v>
      </c>
      <c r="AB144" s="3">
        <v>501</v>
      </c>
      <c r="AC144" s="1">
        <v>85</v>
      </c>
      <c r="AD144" s="1">
        <v>55</v>
      </c>
      <c r="AE144" s="1">
        <v>150</v>
      </c>
      <c r="AF144" s="1">
        <v>43</v>
      </c>
      <c r="AG144" s="1">
        <v>89</v>
      </c>
      <c r="AH144" s="1">
        <v>159</v>
      </c>
      <c r="AI144" s="1">
        <v>98</v>
      </c>
      <c r="AJ144" s="1">
        <v>118</v>
      </c>
      <c r="AK144" s="1">
        <v>122</v>
      </c>
      <c r="AL144" s="1">
        <v>207</v>
      </c>
      <c r="AM144" s="1">
        <v>63</v>
      </c>
      <c r="AN144" s="1">
        <v>120</v>
      </c>
      <c r="AO144" s="3">
        <v>1309</v>
      </c>
      <c r="AP144" s="1">
        <v>168</v>
      </c>
      <c r="AQ144" s="1">
        <v>208</v>
      </c>
      <c r="AR144" s="1">
        <v>105</v>
      </c>
      <c r="AS144" s="1">
        <v>167</v>
      </c>
      <c r="AT144" s="1">
        <v>148</v>
      </c>
      <c r="AU144" s="1">
        <v>169</v>
      </c>
      <c r="AV144" s="1">
        <v>132</v>
      </c>
      <c r="AW144" s="1">
        <v>171</v>
      </c>
      <c r="AX144" s="1">
        <v>195</v>
      </c>
      <c r="AY144" s="1">
        <v>142</v>
      </c>
      <c r="AZ144" s="1">
        <v>97</v>
      </c>
      <c r="BA144" s="1">
        <v>209</v>
      </c>
      <c r="BB144" s="3">
        <v>1911</v>
      </c>
      <c r="BC144" s="1">
        <v>184</v>
      </c>
      <c r="BD144" s="1">
        <v>153</v>
      </c>
      <c r="BE144" s="1">
        <v>116</v>
      </c>
      <c r="BF144" s="1">
        <v>119</v>
      </c>
      <c r="BG144" s="1">
        <v>121</v>
      </c>
      <c r="BH144" s="1">
        <v>150</v>
      </c>
      <c r="BI144" s="1">
        <v>252</v>
      </c>
      <c r="BJ144" s="1">
        <v>188</v>
      </c>
      <c r="BK144" s="1">
        <v>172</v>
      </c>
      <c r="BL144" s="1">
        <v>174</v>
      </c>
      <c r="BM144" s="1">
        <v>168</v>
      </c>
      <c r="BN144" s="1">
        <v>157</v>
      </c>
      <c r="BO144" s="3">
        <v>1954</v>
      </c>
      <c r="BP144" s="3">
        <f t="shared" si="3"/>
        <v>5694</v>
      </c>
    </row>
    <row r="145" spans="1:69" x14ac:dyDescent="0.2">
      <c r="A145" s="3">
        <v>98</v>
      </c>
      <c r="B145" t="s">
        <v>152</v>
      </c>
      <c r="C145" s="1">
        <v>7</v>
      </c>
      <c r="D145" s="1">
        <v>3</v>
      </c>
      <c r="E145" s="1">
        <v>2</v>
      </c>
      <c r="F145" s="1">
        <v>6</v>
      </c>
      <c r="G145" s="1">
        <v>8</v>
      </c>
      <c r="H145" s="1">
        <v>2</v>
      </c>
      <c r="I145" s="1">
        <v>0</v>
      </c>
      <c r="J145" s="1">
        <v>0</v>
      </c>
      <c r="K145" s="1">
        <v>3</v>
      </c>
      <c r="L145" s="1">
        <v>5</v>
      </c>
      <c r="M145" s="1">
        <v>5</v>
      </c>
      <c r="N145" s="1">
        <v>8</v>
      </c>
      <c r="O145" s="3">
        <v>49</v>
      </c>
      <c r="P145" s="1">
        <v>8</v>
      </c>
      <c r="Q145" s="1">
        <v>9</v>
      </c>
      <c r="R145" s="1">
        <v>15</v>
      </c>
      <c r="S145" s="1">
        <v>25</v>
      </c>
      <c r="T145" s="1">
        <v>37</v>
      </c>
      <c r="U145" s="1">
        <v>32</v>
      </c>
      <c r="V145" s="1">
        <v>77</v>
      </c>
      <c r="W145" s="1">
        <v>101</v>
      </c>
      <c r="X145" s="1">
        <v>50</v>
      </c>
      <c r="Y145" s="1">
        <v>106</v>
      </c>
      <c r="Z145" s="1">
        <v>104</v>
      </c>
      <c r="AA145" s="1">
        <v>153</v>
      </c>
      <c r="AB145" s="3">
        <v>717</v>
      </c>
      <c r="AC145" s="1">
        <v>122</v>
      </c>
      <c r="AD145" s="1">
        <v>90</v>
      </c>
      <c r="AE145" s="1">
        <v>251</v>
      </c>
      <c r="AF145" s="1">
        <v>58</v>
      </c>
      <c r="AG145" s="1">
        <v>116</v>
      </c>
      <c r="AH145" s="1">
        <v>150</v>
      </c>
      <c r="AI145" s="1">
        <v>192</v>
      </c>
      <c r="AJ145" s="1">
        <v>204</v>
      </c>
      <c r="AK145" s="1">
        <v>142</v>
      </c>
      <c r="AL145" s="1">
        <v>157</v>
      </c>
      <c r="AM145" s="1">
        <v>125</v>
      </c>
      <c r="AN145" s="1">
        <v>216</v>
      </c>
      <c r="AO145" s="3">
        <v>1823</v>
      </c>
      <c r="AP145" s="1">
        <v>189</v>
      </c>
      <c r="AQ145" s="1">
        <v>136</v>
      </c>
      <c r="AR145" s="1">
        <v>352</v>
      </c>
      <c r="AS145" s="1">
        <v>167</v>
      </c>
      <c r="AT145" s="1">
        <v>192</v>
      </c>
      <c r="AU145" s="1">
        <v>220</v>
      </c>
      <c r="AV145" s="1">
        <v>363</v>
      </c>
      <c r="AW145" s="1">
        <v>248</v>
      </c>
      <c r="AX145" s="1">
        <v>232</v>
      </c>
      <c r="AY145" s="1">
        <v>210</v>
      </c>
      <c r="AZ145" s="1">
        <v>241</v>
      </c>
      <c r="BA145" s="1">
        <v>218</v>
      </c>
      <c r="BB145" s="3">
        <v>2768</v>
      </c>
      <c r="BC145" s="1">
        <v>150</v>
      </c>
      <c r="BD145" s="1">
        <v>145</v>
      </c>
      <c r="BE145" s="1">
        <v>289</v>
      </c>
      <c r="BF145" s="1">
        <v>181</v>
      </c>
      <c r="BG145" s="1">
        <v>227</v>
      </c>
      <c r="BH145" s="1">
        <v>326</v>
      </c>
      <c r="BI145" s="1">
        <v>358</v>
      </c>
      <c r="BJ145" s="1">
        <v>452</v>
      </c>
      <c r="BK145" s="1">
        <v>248</v>
      </c>
      <c r="BL145" s="1">
        <v>199</v>
      </c>
      <c r="BM145" s="1">
        <v>229</v>
      </c>
      <c r="BN145" s="1">
        <v>182</v>
      </c>
      <c r="BO145" s="3">
        <v>2986</v>
      </c>
      <c r="BP145" s="3">
        <f t="shared" si="3"/>
        <v>8343</v>
      </c>
    </row>
    <row r="146" spans="1:69" x14ac:dyDescent="0.2">
      <c r="A146" s="3">
        <v>99</v>
      </c>
      <c r="B146" t="s">
        <v>153</v>
      </c>
      <c r="C146" s="1">
        <v>1</v>
      </c>
      <c r="D146" s="1">
        <v>2</v>
      </c>
      <c r="E146" s="1">
        <v>2</v>
      </c>
      <c r="F146" s="1">
        <v>2</v>
      </c>
      <c r="G146" s="1">
        <v>4</v>
      </c>
      <c r="H146" s="1">
        <v>4</v>
      </c>
      <c r="I146" s="1">
        <v>2</v>
      </c>
      <c r="J146" s="1">
        <v>3</v>
      </c>
      <c r="K146" s="1">
        <v>0</v>
      </c>
      <c r="L146" s="1">
        <v>0</v>
      </c>
      <c r="M146" s="1">
        <v>5</v>
      </c>
      <c r="N146" s="1">
        <v>4</v>
      </c>
      <c r="O146" s="3">
        <v>29</v>
      </c>
      <c r="P146" s="1">
        <v>2</v>
      </c>
      <c r="Q146" s="1">
        <v>8</v>
      </c>
      <c r="R146" s="1">
        <v>13</v>
      </c>
      <c r="S146" s="1">
        <v>34</v>
      </c>
      <c r="T146" s="1">
        <v>46</v>
      </c>
      <c r="U146" s="1">
        <v>63</v>
      </c>
      <c r="V146" s="1">
        <v>181</v>
      </c>
      <c r="W146" s="1">
        <v>437</v>
      </c>
      <c r="X146" s="1">
        <v>149</v>
      </c>
      <c r="Y146" s="1">
        <v>133</v>
      </c>
      <c r="Z146" s="1">
        <v>90</v>
      </c>
      <c r="AA146" s="1">
        <v>103</v>
      </c>
      <c r="AB146" s="3">
        <v>1259</v>
      </c>
      <c r="AC146" s="1">
        <v>78</v>
      </c>
      <c r="AD146" s="1">
        <v>103</v>
      </c>
      <c r="AE146" s="1">
        <v>77</v>
      </c>
      <c r="AF146" s="1">
        <v>142</v>
      </c>
      <c r="AG146" s="1">
        <v>93</v>
      </c>
      <c r="AH146" s="1">
        <v>173</v>
      </c>
      <c r="AI146" s="1">
        <v>227</v>
      </c>
      <c r="AJ146" s="1">
        <v>431</v>
      </c>
      <c r="AK146" s="1">
        <v>116</v>
      </c>
      <c r="AL146" s="1">
        <v>140</v>
      </c>
      <c r="AM146" s="1">
        <v>119</v>
      </c>
      <c r="AN146" s="1">
        <v>146</v>
      </c>
      <c r="AO146" s="3">
        <v>1845</v>
      </c>
      <c r="AP146" s="1">
        <v>101</v>
      </c>
      <c r="AQ146" s="1">
        <v>110</v>
      </c>
      <c r="AR146" s="1">
        <v>149</v>
      </c>
      <c r="AS146" s="1">
        <v>218</v>
      </c>
      <c r="AT146" s="1">
        <v>114</v>
      </c>
      <c r="AU146" s="1">
        <v>123</v>
      </c>
      <c r="AV146" s="1">
        <v>213</v>
      </c>
      <c r="AW146" s="1">
        <v>463</v>
      </c>
      <c r="AX146" s="1">
        <v>211</v>
      </c>
      <c r="AY146" s="1">
        <v>180</v>
      </c>
      <c r="AZ146" s="1">
        <v>137</v>
      </c>
      <c r="BA146" s="1">
        <v>196</v>
      </c>
      <c r="BB146" s="3">
        <v>2215</v>
      </c>
      <c r="BC146" s="1">
        <v>117</v>
      </c>
      <c r="BD146" s="1">
        <v>127</v>
      </c>
      <c r="BE146" s="1">
        <v>173</v>
      </c>
      <c r="BF146" s="1">
        <v>209</v>
      </c>
      <c r="BG146" s="1">
        <v>130</v>
      </c>
      <c r="BH146" s="1">
        <v>188</v>
      </c>
      <c r="BI146" s="1">
        <v>364</v>
      </c>
      <c r="BJ146" s="1">
        <v>522</v>
      </c>
      <c r="BK146" s="1">
        <v>181</v>
      </c>
      <c r="BL146" s="1">
        <v>217</v>
      </c>
      <c r="BM146" s="1">
        <v>140</v>
      </c>
      <c r="BN146" s="1">
        <v>172</v>
      </c>
      <c r="BO146" s="3">
        <v>2540</v>
      </c>
      <c r="BP146" s="3">
        <f t="shared" si="3"/>
        <v>7888</v>
      </c>
    </row>
    <row r="147" spans="1:69" x14ac:dyDescent="0.2">
      <c r="A147" s="3">
        <v>100</v>
      </c>
      <c r="B147" t="s">
        <v>154</v>
      </c>
      <c r="C147" s="1">
        <v>0</v>
      </c>
      <c r="D147" s="1">
        <v>0</v>
      </c>
      <c r="E147" s="1">
        <v>0</v>
      </c>
      <c r="F147" s="1">
        <v>0</v>
      </c>
      <c r="G147" s="1">
        <v>5</v>
      </c>
      <c r="H147" s="1">
        <v>1</v>
      </c>
      <c r="I147" s="1">
        <v>0</v>
      </c>
      <c r="J147" s="1">
        <v>0</v>
      </c>
      <c r="K147" s="1">
        <v>0</v>
      </c>
      <c r="L147" s="1">
        <v>0</v>
      </c>
      <c r="M147" s="1">
        <v>2</v>
      </c>
      <c r="N147" s="1">
        <v>1</v>
      </c>
      <c r="O147" s="3">
        <v>9</v>
      </c>
      <c r="P147" s="1">
        <v>0</v>
      </c>
      <c r="Q147" s="1">
        <v>1</v>
      </c>
      <c r="R147" s="1">
        <v>4</v>
      </c>
      <c r="S147" s="1">
        <v>8</v>
      </c>
      <c r="T147" s="1">
        <v>11</v>
      </c>
      <c r="U147" s="1">
        <v>8</v>
      </c>
      <c r="V147" s="1">
        <v>13</v>
      </c>
      <c r="W147" s="1">
        <v>22</v>
      </c>
      <c r="X147" s="1">
        <v>19</v>
      </c>
      <c r="Y147" s="1">
        <v>20</v>
      </c>
      <c r="Z147" s="1">
        <v>48</v>
      </c>
      <c r="AA147" s="1">
        <v>30</v>
      </c>
      <c r="AB147" s="3">
        <v>184</v>
      </c>
      <c r="AC147" s="1">
        <v>21</v>
      </c>
      <c r="AD147" s="1">
        <v>12</v>
      </c>
      <c r="AE147" s="1">
        <v>26</v>
      </c>
      <c r="AF147" s="1">
        <v>5</v>
      </c>
      <c r="AG147" s="1">
        <v>22</v>
      </c>
      <c r="AH147" s="1">
        <v>31</v>
      </c>
      <c r="AI147" s="1">
        <v>30</v>
      </c>
      <c r="AJ147" s="1">
        <v>47</v>
      </c>
      <c r="AK147" s="1">
        <v>51</v>
      </c>
      <c r="AL147" s="1">
        <v>62</v>
      </c>
      <c r="AM147" s="1">
        <v>27</v>
      </c>
      <c r="AN147" s="1">
        <v>50</v>
      </c>
      <c r="AO147" s="3">
        <v>384</v>
      </c>
      <c r="AP147" s="1">
        <v>19</v>
      </c>
      <c r="AQ147" s="1">
        <v>44</v>
      </c>
      <c r="AR147" s="1">
        <v>47</v>
      </c>
      <c r="AS147" s="1">
        <v>54</v>
      </c>
      <c r="AT147" s="1">
        <v>56</v>
      </c>
      <c r="AU147" s="1">
        <v>25</v>
      </c>
      <c r="AV147" s="1">
        <v>88</v>
      </c>
      <c r="AW147" s="1">
        <v>88</v>
      </c>
      <c r="AX147" s="1">
        <v>106</v>
      </c>
      <c r="AY147" s="1">
        <v>77</v>
      </c>
      <c r="AZ147" s="1">
        <v>70</v>
      </c>
      <c r="BA147" s="1">
        <v>55</v>
      </c>
      <c r="BB147" s="3">
        <v>729</v>
      </c>
      <c r="BC147" s="1">
        <v>43</v>
      </c>
      <c r="BD147" s="1">
        <v>28</v>
      </c>
      <c r="BE147" s="1">
        <v>56</v>
      </c>
      <c r="BF147" s="1">
        <v>74</v>
      </c>
      <c r="BG147" s="1">
        <v>45</v>
      </c>
      <c r="BH147" s="1">
        <v>77</v>
      </c>
      <c r="BI147" s="1">
        <v>91</v>
      </c>
      <c r="BJ147" s="1">
        <v>80</v>
      </c>
      <c r="BK147" s="1">
        <v>106</v>
      </c>
      <c r="BL147" s="1">
        <v>87</v>
      </c>
      <c r="BM147" s="1">
        <v>61</v>
      </c>
      <c r="BN147" s="1">
        <v>58</v>
      </c>
      <c r="BO147" s="3">
        <v>806</v>
      </c>
      <c r="BP147" s="3">
        <f t="shared" si="3"/>
        <v>2112</v>
      </c>
    </row>
    <row r="148" spans="1:69" x14ac:dyDescent="0.2">
      <c r="A148" s="3">
        <v>101</v>
      </c>
      <c r="B148" t="s">
        <v>155</v>
      </c>
      <c r="C148" s="1">
        <v>0</v>
      </c>
      <c r="D148" s="1">
        <v>5</v>
      </c>
      <c r="E148" s="1">
        <v>4</v>
      </c>
      <c r="F148" s="1">
        <v>3</v>
      </c>
      <c r="G148" s="1">
        <v>2</v>
      </c>
      <c r="H148" s="1">
        <v>3</v>
      </c>
      <c r="I148" s="1">
        <v>1</v>
      </c>
      <c r="J148" s="1">
        <v>1</v>
      </c>
      <c r="K148" s="1">
        <v>5</v>
      </c>
      <c r="L148" s="1">
        <v>5</v>
      </c>
      <c r="M148" s="1">
        <v>6</v>
      </c>
      <c r="N148" s="1">
        <v>1</v>
      </c>
      <c r="O148" s="3">
        <v>36</v>
      </c>
      <c r="P148" s="1">
        <v>4</v>
      </c>
      <c r="Q148" s="1">
        <v>9</v>
      </c>
      <c r="R148" s="1">
        <v>8</v>
      </c>
      <c r="S148" s="1">
        <v>3</v>
      </c>
      <c r="T148" s="1">
        <v>19</v>
      </c>
      <c r="U148" s="1">
        <v>29</v>
      </c>
      <c r="V148" s="1">
        <v>33</v>
      </c>
      <c r="W148" s="1">
        <v>55</v>
      </c>
      <c r="X148" s="1">
        <v>44</v>
      </c>
      <c r="Y148" s="1">
        <v>54</v>
      </c>
      <c r="Z148" s="1">
        <v>35</v>
      </c>
      <c r="AA148" s="1">
        <v>64</v>
      </c>
      <c r="AB148" s="3">
        <v>357</v>
      </c>
      <c r="AC148" s="1">
        <v>51</v>
      </c>
      <c r="AD148" s="1">
        <v>50</v>
      </c>
      <c r="AE148" s="1">
        <v>73</v>
      </c>
      <c r="AF148" s="1">
        <v>74</v>
      </c>
      <c r="AG148" s="1">
        <v>78</v>
      </c>
      <c r="AH148" s="1">
        <v>84</v>
      </c>
      <c r="AI148" s="1">
        <v>59</v>
      </c>
      <c r="AJ148" s="1">
        <v>88</v>
      </c>
      <c r="AK148" s="1">
        <v>96</v>
      </c>
      <c r="AL148" s="1">
        <v>82</v>
      </c>
      <c r="AM148" s="1">
        <v>45</v>
      </c>
      <c r="AN148" s="1">
        <v>70</v>
      </c>
      <c r="AO148" s="3">
        <v>850</v>
      </c>
      <c r="AP148" s="1">
        <v>68</v>
      </c>
      <c r="AQ148" s="1">
        <v>88</v>
      </c>
      <c r="AR148" s="1">
        <v>72</v>
      </c>
      <c r="AS148" s="1">
        <v>107</v>
      </c>
      <c r="AT148" s="1">
        <v>99</v>
      </c>
      <c r="AU148" s="1">
        <v>114</v>
      </c>
      <c r="AV148" s="1">
        <v>73</v>
      </c>
      <c r="AW148" s="1">
        <v>106</v>
      </c>
      <c r="AX148" s="1">
        <v>99</v>
      </c>
      <c r="AY148" s="1">
        <v>92</v>
      </c>
      <c r="AZ148" s="1">
        <v>58</v>
      </c>
      <c r="BA148" s="1">
        <v>64</v>
      </c>
      <c r="BB148" s="3">
        <v>1040</v>
      </c>
      <c r="BC148" s="1">
        <v>74</v>
      </c>
      <c r="BD148" s="1">
        <v>70</v>
      </c>
      <c r="BE148" s="1">
        <v>66</v>
      </c>
      <c r="BF148" s="1">
        <v>120</v>
      </c>
      <c r="BG148" s="1">
        <v>132</v>
      </c>
      <c r="BH148" s="1">
        <v>141</v>
      </c>
      <c r="BI148" s="1">
        <v>102</v>
      </c>
      <c r="BJ148" s="1">
        <v>98</v>
      </c>
      <c r="BK148" s="1">
        <v>104</v>
      </c>
      <c r="BL148" s="1">
        <v>113</v>
      </c>
      <c r="BM148" s="1">
        <v>69</v>
      </c>
      <c r="BN148" s="1">
        <v>95</v>
      </c>
      <c r="BO148" s="3">
        <v>1184</v>
      </c>
      <c r="BP148" s="3">
        <f t="shared" si="3"/>
        <v>3467</v>
      </c>
    </row>
    <row r="149" spans="1:69" x14ac:dyDescent="0.2">
      <c r="A149" s="3">
        <v>102</v>
      </c>
      <c r="B149" t="s">
        <v>156</v>
      </c>
      <c r="C149" s="1">
        <v>8</v>
      </c>
      <c r="D149" s="1">
        <v>11</v>
      </c>
      <c r="E149" s="1">
        <v>18</v>
      </c>
      <c r="F149" s="1">
        <v>15</v>
      </c>
      <c r="G149" s="1">
        <v>10</v>
      </c>
      <c r="H149" s="1">
        <v>21</v>
      </c>
      <c r="I149" s="1">
        <v>7</v>
      </c>
      <c r="J149" s="1">
        <v>4</v>
      </c>
      <c r="K149" s="1">
        <v>2</v>
      </c>
      <c r="L149" s="1">
        <v>8</v>
      </c>
      <c r="M149" s="1">
        <v>9</v>
      </c>
      <c r="N149" s="1">
        <v>6</v>
      </c>
      <c r="O149" s="3">
        <v>119</v>
      </c>
      <c r="P149" s="1">
        <v>7</v>
      </c>
      <c r="Q149" s="1">
        <v>15</v>
      </c>
      <c r="R149" s="1">
        <v>16</v>
      </c>
      <c r="S149" s="1">
        <v>40</v>
      </c>
      <c r="T149" s="1">
        <v>54</v>
      </c>
      <c r="U149" s="1">
        <v>76</v>
      </c>
      <c r="V149" s="1">
        <v>49</v>
      </c>
      <c r="W149" s="1">
        <v>62</v>
      </c>
      <c r="X149" s="1">
        <v>44</v>
      </c>
      <c r="Y149" s="1">
        <v>62</v>
      </c>
      <c r="Z149" s="1">
        <v>50</v>
      </c>
      <c r="AA149" s="1">
        <v>60</v>
      </c>
      <c r="AB149" s="3">
        <v>535</v>
      </c>
      <c r="AC149" s="1">
        <v>61</v>
      </c>
      <c r="AD149" s="1">
        <v>72</v>
      </c>
      <c r="AE149" s="1">
        <v>61</v>
      </c>
      <c r="AF149" s="1">
        <v>39</v>
      </c>
      <c r="AG149" s="1">
        <v>96</v>
      </c>
      <c r="AH149" s="1">
        <v>53</v>
      </c>
      <c r="AI149" s="1">
        <v>91</v>
      </c>
      <c r="AJ149" s="1">
        <v>115</v>
      </c>
      <c r="AK149" s="1">
        <v>93</v>
      </c>
      <c r="AL149" s="1">
        <v>58</v>
      </c>
      <c r="AM149" s="1">
        <v>38</v>
      </c>
      <c r="AN149" s="1">
        <v>64</v>
      </c>
      <c r="AO149" s="3">
        <v>841</v>
      </c>
      <c r="AP149" s="1">
        <v>70</v>
      </c>
      <c r="AQ149" s="1">
        <v>80</v>
      </c>
      <c r="AR149" s="1">
        <v>76</v>
      </c>
      <c r="AS149" s="1">
        <v>53</v>
      </c>
      <c r="AT149" s="1">
        <v>83</v>
      </c>
      <c r="AU149" s="1">
        <v>91</v>
      </c>
      <c r="AV149" s="1">
        <v>108</v>
      </c>
      <c r="AW149" s="1">
        <v>87</v>
      </c>
      <c r="AX149" s="1">
        <v>60</v>
      </c>
      <c r="AY149" s="1">
        <v>95</v>
      </c>
      <c r="AZ149" s="1">
        <v>87</v>
      </c>
      <c r="BA149" s="1">
        <v>66</v>
      </c>
      <c r="BB149" s="3">
        <v>956</v>
      </c>
      <c r="BC149" s="1">
        <v>71</v>
      </c>
      <c r="BD149" s="1">
        <v>65</v>
      </c>
      <c r="BE149" s="1">
        <v>59</v>
      </c>
      <c r="BF149" s="1">
        <v>76</v>
      </c>
      <c r="BG149" s="1">
        <v>129</v>
      </c>
      <c r="BH149" s="1">
        <v>146</v>
      </c>
      <c r="BI149" s="1">
        <v>144</v>
      </c>
      <c r="BJ149" s="1">
        <v>216</v>
      </c>
      <c r="BK149" s="1">
        <v>113</v>
      </c>
      <c r="BL149" s="1">
        <v>119</v>
      </c>
      <c r="BM149" s="1">
        <v>61</v>
      </c>
      <c r="BN149" s="1">
        <v>44</v>
      </c>
      <c r="BO149" s="3">
        <v>1243</v>
      </c>
      <c r="BP149" s="3">
        <f t="shared" si="3"/>
        <v>3694</v>
      </c>
    </row>
    <row r="150" spans="1:69" x14ac:dyDescent="0.2">
      <c r="A150" s="3">
        <v>103</v>
      </c>
      <c r="B150" t="s">
        <v>157</v>
      </c>
      <c r="C150" s="1">
        <v>0</v>
      </c>
      <c r="D150" s="1">
        <v>5</v>
      </c>
      <c r="E150" s="1">
        <v>5</v>
      </c>
      <c r="F150" s="1">
        <v>3</v>
      </c>
      <c r="G150" s="1">
        <v>3</v>
      </c>
      <c r="H150" s="1">
        <v>0</v>
      </c>
      <c r="I150" s="1">
        <v>0</v>
      </c>
      <c r="J150" s="1">
        <v>1</v>
      </c>
      <c r="K150" s="1">
        <v>0</v>
      </c>
      <c r="L150" s="1">
        <v>4</v>
      </c>
      <c r="M150" s="1">
        <v>2</v>
      </c>
      <c r="N150" s="1">
        <v>3</v>
      </c>
      <c r="O150" s="3">
        <v>26</v>
      </c>
      <c r="P150" s="1">
        <v>7</v>
      </c>
      <c r="Q150" s="1">
        <v>1</v>
      </c>
      <c r="R150" s="1">
        <v>4</v>
      </c>
      <c r="S150" s="1">
        <v>7</v>
      </c>
      <c r="T150" s="1">
        <v>10</v>
      </c>
      <c r="U150" s="1">
        <v>17</v>
      </c>
      <c r="V150" s="1">
        <v>10</v>
      </c>
      <c r="W150" s="1">
        <v>39</v>
      </c>
      <c r="X150" s="1">
        <v>55</v>
      </c>
      <c r="Y150" s="1">
        <v>38</v>
      </c>
      <c r="Z150" s="1">
        <v>61</v>
      </c>
      <c r="AA150" s="1">
        <v>61</v>
      </c>
      <c r="AB150" s="3">
        <v>310</v>
      </c>
      <c r="AC150" s="1">
        <v>61</v>
      </c>
      <c r="AD150" s="1">
        <v>54</v>
      </c>
      <c r="AE150" s="1">
        <v>97</v>
      </c>
      <c r="AF150" s="1">
        <v>99</v>
      </c>
      <c r="AG150" s="1">
        <v>114</v>
      </c>
      <c r="AH150" s="1">
        <v>82</v>
      </c>
      <c r="AI150" s="1">
        <v>71</v>
      </c>
      <c r="AJ150" s="1">
        <v>128</v>
      </c>
      <c r="AK150" s="1">
        <v>135</v>
      </c>
      <c r="AL150" s="1">
        <v>102</v>
      </c>
      <c r="AM150" s="1">
        <v>93</v>
      </c>
      <c r="AN150" s="1">
        <v>77</v>
      </c>
      <c r="AO150" s="3">
        <v>1113</v>
      </c>
      <c r="AP150" s="1">
        <v>90</v>
      </c>
      <c r="AQ150" s="1">
        <v>105</v>
      </c>
      <c r="AR150" s="1">
        <v>79</v>
      </c>
      <c r="AS150" s="1">
        <v>84</v>
      </c>
      <c r="AT150" s="1">
        <v>97</v>
      </c>
      <c r="AU150" s="1">
        <v>75</v>
      </c>
      <c r="AV150" s="1">
        <v>71</v>
      </c>
      <c r="AW150" s="1">
        <v>129</v>
      </c>
      <c r="AX150" s="1">
        <v>130</v>
      </c>
      <c r="AY150" s="1">
        <v>125</v>
      </c>
      <c r="AZ150" s="1">
        <v>96</v>
      </c>
      <c r="BA150" s="1">
        <v>83</v>
      </c>
      <c r="BB150" s="3">
        <v>1164</v>
      </c>
      <c r="BC150" s="1">
        <v>84</v>
      </c>
      <c r="BD150" s="1">
        <v>87</v>
      </c>
      <c r="BE150" s="1">
        <v>85</v>
      </c>
      <c r="BF150" s="1">
        <v>120</v>
      </c>
      <c r="BG150" s="1">
        <v>88</v>
      </c>
      <c r="BH150" s="1">
        <v>82</v>
      </c>
      <c r="BI150" s="1">
        <v>75</v>
      </c>
      <c r="BJ150" s="1">
        <v>179</v>
      </c>
      <c r="BK150" s="1">
        <v>141</v>
      </c>
      <c r="BL150" s="1">
        <v>129</v>
      </c>
      <c r="BM150" s="1">
        <v>109</v>
      </c>
      <c r="BN150" s="1">
        <v>64</v>
      </c>
      <c r="BO150" s="3">
        <v>1243</v>
      </c>
      <c r="BP150" s="3">
        <f t="shared" si="3"/>
        <v>3856</v>
      </c>
    </row>
    <row r="151" spans="1:69" x14ac:dyDescent="0.2">
      <c r="A151" s="3">
        <v>104</v>
      </c>
      <c r="B151" t="s">
        <v>158</v>
      </c>
      <c r="C151" s="1">
        <v>1</v>
      </c>
      <c r="D151" s="1">
        <v>2</v>
      </c>
      <c r="E151" s="1">
        <v>4</v>
      </c>
      <c r="F151" s="1">
        <v>10</v>
      </c>
      <c r="G151" s="1">
        <v>2</v>
      </c>
      <c r="H151" s="1">
        <v>5</v>
      </c>
      <c r="I151" s="1">
        <v>7</v>
      </c>
      <c r="J151" s="1">
        <v>1</v>
      </c>
      <c r="K151" s="1">
        <v>0</v>
      </c>
      <c r="L151" s="1">
        <v>6</v>
      </c>
      <c r="M151" s="1">
        <v>9</v>
      </c>
      <c r="N151" s="1">
        <v>12</v>
      </c>
      <c r="O151" s="3">
        <v>59</v>
      </c>
      <c r="P151" s="1">
        <v>9</v>
      </c>
      <c r="Q151" s="1">
        <v>7</v>
      </c>
      <c r="R151" s="1">
        <v>26</v>
      </c>
      <c r="S151" s="1">
        <v>43</v>
      </c>
      <c r="T151" s="1">
        <v>36</v>
      </c>
      <c r="U151" s="1">
        <v>17</v>
      </c>
      <c r="V151" s="1">
        <v>22</v>
      </c>
      <c r="W151" s="1">
        <v>35</v>
      </c>
      <c r="X151" s="1">
        <v>17</v>
      </c>
      <c r="Y151" s="1">
        <v>37</v>
      </c>
      <c r="Z151" s="1">
        <v>54</v>
      </c>
      <c r="AA151" s="1">
        <v>48</v>
      </c>
      <c r="AB151" s="3">
        <v>351</v>
      </c>
      <c r="AC151" s="1">
        <v>45</v>
      </c>
      <c r="AD151" s="1">
        <v>69</v>
      </c>
      <c r="AE151" s="1">
        <v>29</v>
      </c>
      <c r="AF151" s="1">
        <v>32</v>
      </c>
      <c r="AG151" s="1">
        <v>49</v>
      </c>
      <c r="AH151" s="1">
        <v>48</v>
      </c>
      <c r="AI151" s="1">
        <v>36</v>
      </c>
      <c r="AJ151" s="1">
        <v>51</v>
      </c>
      <c r="AK151" s="1">
        <v>53</v>
      </c>
      <c r="AL151" s="1">
        <v>57</v>
      </c>
      <c r="AM151" s="1">
        <v>47</v>
      </c>
      <c r="AN151" s="1">
        <v>61</v>
      </c>
      <c r="AO151" s="3">
        <v>577</v>
      </c>
      <c r="AP151" s="1">
        <v>55</v>
      </c>
      <c r="AQ151" s="1">
        <v>44</v>
      </c>
      <c r="AR151" s="1">
        <v>50</v>
      </c>
      <c r="AS151" s="1">
        <v>54</v>
      </c>
      <c r="AT151" s="1">
        <v>44</v>
      </c>
      <c r="AU151" s="1">
        <v>36</v>
      </c>
      <c r="AV151" s="1">
        <v>26</v>
      </c>
      <c r="AW151" s="1">
        <v>42</v>
      </c>
      <c r="AX151" s="1">
        <v>41</v>
      </c>
      <c r="AY151" s="1">
        <v>47</v>
      </c>
      <c r="AZ151" s="1">
        <v>72</v>
      </c>
      <c r="BA151" s="1">
        <v>57</v>
      </c>
      <c r="BB151" s="3">
        <v>568</v>
      </c>
      <c r="BC151" s="1">
        <v>74</v>
      </c>
      <c r="BD151" s="1">
        <v>57</v>
      </c>
      <c r="BE151" s="1">
        <v>61</v>
      </c>
      <c r="BF151" s="1">
        <v>34</v>
      </c>
      <c r="BG151" s="1">
        <v>37</v>
      </c>
      <c r="BH151" s="1">
        <v>51</v>
      </c>
      <c r="BI151" s="1">
        <v>44</v>
      </c>
      <c r="BJ151" s="1">
        <v>58</v>
      </c>
      <c r="BK151" s="1">
        <v>62</v>
      </c>
      <c r="BL151" s="1">
        <v>77</v>
      </c>
      <c r="BM151" s="1">
        <v>75</v>
      </c>
      <c r="BN151" s="1">
        <v>63</v>
      </c>
      <c r="BO151" s="3">
        <v>693</v>
      </c>
      <c r="BP151" s="3">
        <f t="shared" si="3"/>
        <v>2248</v>
      </c>
    </row>
    <row r="152" spans="1:69" x14ac:dyDescent="0.2">
      <c r="A152" s="3">
        <v>105</v>
      </c>
      <c r="B152" t="s">
        <v>159</v>
      </c>
      <c r="C152" s="1">
        <v>1</v>
      </c>
      <c r="D152" s="1">
        <v>2</v>
      </c>
      <c r="E152" s="1">
        <v>3</v>
      </c>
      <c r="F152" s="1">
        <v>5</v>
      </c>
      <c r="G152" s="1">
        <v>9</v>
      </c>
      <c r="H152" s="1">
        <v>10</v>
      </c>
      <c r="I152" s="1">
        <v>0</v>
      </c>
      <c r="J152" s="1">
        <v>1</v>
      </c>
      <c r="K152" s="1">
        <v>1</v>
      </c>
      <c r="L152" s="1">
        <v>6</v>
      </c>
      <c r="M152" s="1">
        <v>4</v>
      </c>
      <c r="N152" s="1">
        <v>5</v>
      </c>
      <c r="O152" s="3">
        <v>47</v>
      </c>
      <c r="P152" s="1">
        <v>2</v>
      </c>
      <c r="Q152" s="1">
        <v>8</v>
      </c>
      <c r="R152" s="1">
        <v>8</v>
      </c>
      <c r="S152" s="1">
        <v>13</v>
      </c>
      <c r="T152" s="1">
        <v>8</v>
      </c>
      <c r="U152" s="1">
        <v>2</v>
      </c>
      <c r="V152" s="1">
        <v>17</v>
      </c>
      <c r="W152" s="1">
        <v>8</v>
      </c>
      <c r="X152" s="1">
        <v>7</v>
      </c>
      <c r="Y152" s="1">
        <v>18</v>
      </c>
      <c r="Z152" s="1">
        <v>20</v>
      </c>
      <c r="AA152" s="1">
        <v>17</v>
      </c>
      <c r="AB152" s="3">
        <v>128</v>
      </c>
      <c r="AC152" s="1">
        <v>8</v>
      </c>
      <c r="AD152" s="1">
        <v>15</v>
      </c>
      <c r="AE152" s="1">
        <v>14</v>
      </c>
      <c r="AF152" s="1">
        <v>11</v>
      </c>
      <c r="AG152" s="1">
        <v>27</v>
      </c>
      <c r="AH152" s="1">
        <v>24</v>
      </c>
      <c r="AI152" s="1">
        <v>15</v>
      </c>
      <c r="AJ152" s="1">
        <v>17</v>
      </c>
      <c r="AK152" s="1">
        <v>25</v>
      </c>
      <c r="AL152" s="1">
        <v>10</v>
      </c>
      <c r="AM152" s="1">
        <v>29</v>
      </c>
      <c r="AN152" s="1">
        <v>28</v>
      </c>
      <c r="AO152" s="3">
        <v>223</v>
      </c>
      <c r="AP152" s="1">
        <v>24</v>
      </c>
      <c r="AQ152" s="1">
        <v>29</v>
      </c>
      <c r="AR152" s="1">
        <v>25</v>
      </c>
      <c r="AS152" s="1">
        <v>40</v>
      </c>
      <c r="AT152" s="1">
        <v>13</v>
      </c>
      <c r="AU152" s="1">
        <v>9</v>
      </c>
      <c r="AV152" s="1">
        <v>18</v>
      </c>
      <c r="AW152" s="1">
        <v>31</v>
      </c>
      <c r="AX152" s="1">
        <v>15</v>
      </c>
      <c r="AY152" s="1">
        <v>37</v>
      </c>
      <c r="AZ152" s="1">
        <v>23</v>
      </c>
      <c r="BA152" s="1">
        <v>19</v>
      </c>
      <c r="BB152" s="3">
        <v>283</v>
      </c>
      <c r="BC152" s="1">
        <v>45</v>
      </c>
      <c r="BD152" s="1">
        <v>70</v>
      </c>
      <c r="BE152" s="1">
        <v>25</v>
      </c>
      <c r="BF152" s="1">
        <v>34</v>
      </c>
      <c r="BG152" s="1">
        <v>36</v>
      </c>
      <c r="BH152" s="1">
        <v>32</v>
      </c>
      <c r="BI152" s="1">
        <v>42</v>
      </c>
      <c r="BJ152" s="1">
        <v>35</v>
      </c>
      <c r="BK152" s="1">
        <v>80</v>
      </c>
      <c r="BL152" s="1">
        <v>37</v>
      </c>
      <c r="BM152" s="1">
        <v>42</v>
      </c>
      <c r="BN152" s="1">
        <v>34</v>
      </c>
      <c r="BO152" s="3">
        <v>512</v>
      </c>
      <c r="BP152" s="3">
        <f t="shared" si="3"/>
        <v>1193</v>
      </c>
    </row>
    <row r="153" spans="1:69" x14ac:dyDescent="0.2">
      <c r="A153" s="3">
        <v>106</v>
      </c>
      <c r="B153" t="s">
        <v>160</v>
      </c>
      <c r="C153" s="1">
        <v>0</v>
      </c>
      <c r="D153" s="1">
        <v>0</v>
      </c>
      <c r="E153" s="1">
        <v>0</v>
      </c>
      <c r="F153" s="1">
        <v>0</v>
      </c>
      <c r="G153" s="1">
        <v>0</v>
      </c>
      <c r="H153" s="1">
        <v>0</v>
      </c>
      <c r="I153" s="1">
        <v>0</v>
      </c>
      <c r="J153" s="1">
        <v>0</v>
      </c>
      <c r="K153" s="1">
        <v>0</v>
      </c>
      <c r="L153" s="1">
        <v>0</v>
      </c>
      <c r="M153" s="1">
        <v>0</v>
      </c>
      <c r="N153" s="1">
        <v>0</v>
      </c>
      <c r="O153" s="3">
        <v>0</v>
      </c>
      <c r="P153" s="1">
        <v>0</v>
      </c>
      <c r="Q153" s="1">
        <v>0</v>
      </c>
      <c r="R153" s="1">
        <v>0</v>
      </c>
      <c r="S153" s="1">
        <v>0</v>
      </c>
      <c r="T153" s="1">
        <v>1</v>
      </c>
      <c r="U153" s="1">
        <v>0</v>
      </c>
      <c r="V153" s="1">
        <v>0</v>
      </c>
      <c r="W153" s="1">
        <v>1</v>
      </c>
      <c r="X153" s="1">
        <v>0</v>
      </c>
      <c r="Y153" s="1">
        <v>4</v>
      </c>
      <c r="Z153" s="1">
        <v>3</v>
      </c>
      <c r="AA153" s="1">
        <v>0</v>
      </c>
      <c r="AB153" s="3">
        <v>9</v>
      </c>
      <c r="AC153" s="1">
        <v>1</v>
      </c>
      <c r="AD153" s="1">
        <v>0</v>
      </c>
      <c r="AE153" s="1">
        <v>1</v>
      </c>
      <c r="AF153" s="1">
        <v>1</v>
      </c>
      <c r="AG153" s="1">
        <v>2</v>
      </c>
      <c r="AH153" s="1">
        <v>2</v>
      </c>
      <c r="AI153" s="1">
        <v>3</v>
      </c>
      <c r="AJ153" s="1">
        <v>1</v>
      </c>
      <c r="AK153" s="1">
        <v>1</v>
      </c>
      <c r="AL153" s="1">
        <v>4</v>
      </c>
      <c r="AM153" s="1">
        <v>1</v>
      </c>
      <c r="AN153" s="1">
        <v>2</v>
      </c>
      <c r="AO153" s="3">
        <v>19</v>
      </c>
      <c r="AP153" s="1">
        <v>0</v>
      </c>
      <c r="AQ153" s="1">
        <v>0</v>
      </c>
      <c r="AR153" s="1">
        <v>1</v>
      </c>
      <c r="AS153" s="1">
        <v>3</v>
      </c>
      <c r="AT153" s="1">
        <v>4</v>
      </c>
      <c r="AU153" s="1">
        <v>1</v>
      </c>
      <c r="AV153" s="1">
        <v>3</v>
      </c>
      <c r="AW153" s="1">
        <v>5</v>
      </c>
      <c r="AX153" s="1">
        <v>2</v>
      </c>
      <c r="AY153" s="1">
        <v>2</v>
      </c>
      <c r="AZ153" s="1">
        <v>0</v>
      </c>
      <c r="BA153" s="1">
        <v>0</v>
      </c>
      <c r="BB153" s="3">
        <v>21</v>
      </c>
      <c r="BC153" s="1">
        <v>0</v>
      </c>
      <c r="BD153" s="1">
        <v>0</v>
      </c>
      <c r="BE153" s="1">
        <v>0</v>
      </c>
      <c r="BF153" s="1">
        <v>0</v>
      </c>
      <c r="BG153" s="1">
        <v>0</v>
      </c>
      <c r="BH153" s="1">
        <v>0</v>
      </c>
      <c r="BI153" s="1">
        <v>0</v>
      </c>
      <c r="BJ153" s="1">
        <v>0</v>
      </c>
      <c r="BK153" s="1">
        <v>1</v>
      </c>
      <c r="BL153" s="1">
        <v>0</v>
      </c>
      <c r="BM153" s="1">
        <v>0</v>
      </c>
      <c r="BN153" s="1">
        <v>1</v>
      </c>
      <c r="BO153" s="3">
        <v>2</v>
      </c>
      <c r="BP153" s="3">
        <f t="shared" si="3"/>
        <v>51</v>
      </c>
    </row>
    <row r="154" spans="1:69" x14ac:dyDescent="0.2">
      <c r="A154" s="3">
        <v>107</v>
      </c>
      <c r="B154" t="s">
        <v>161</v>
      </c>
      <c r="C154" s="1">
        <v>0</v>
      </c>
      <c r="D154" s="1">
        <v>0</v>
      </c>
      <c r="E154" s="1">
        <v>0</v>
      </c>
      <c r="F154" s="1">
        <v>0</v>
      </c>
      <c r="G154" s="1">
        <v>0</v>
      </c>
      <c r="H154" s="1">
        <v>0</v>
      </c>
      <c r="I154" s="1">
        <v>0</v>
      </c>
      <c r="J154" s="1">
        <v>0</v>
      </c>
      <c r="K154" s="1">
        <v>0</v>
      </c>
      <c r="L154" s="1">
        <v>0</v>
      </c>
      <c r="M154" s="1">
        <v>0</v>
      </c>
      <c r="N154" s="1">
        <v>0</v>
      </c>
      <c r="O154" s="3">
        <v>0</v>
      </c>
      <c r="P154" s="1">
        <v>0</v>
      </c>
      <c r="Q154" s="1">
        <v>0</v>
      </c>
      <c r="R154" s="1">
        <v>0</v>
      </c>
      <c r="S154" s="1">
        <v>0</v>
      </c>
      <c r="T154" s="1">
        <v>0</v>
      </c>
      <c r="U154" s="1">
        <v>0</v>
      </c>
      <c r="V154" s="1">
        <v>0</v>
      </c>
      <c r="W154" s="1">
        <v>0</v>
      </c>
      <c r="X154" s="1">
        <v>0</v>
      </c>
      <c r="Y154" s="1">
        <v>0</v>
      </c>
      <c r="Z154" s="1">
        <v>0</v>
      </c>
      <c r="AA154" s="1">
        <v>0</v>
      </c>
      <c r="AB154" s="3">
        <v>0</v>
      </c>
      <c r="AC154" s="1">
        <v>0</v>
      </c>
      <c r="AD154" s="1">
        <v>0</v>
      </c>
      <c r="AE154" s="1">
        <v>0</v>
      </c>
      <c r="AF154" s="1">
        <v>0</v>
      </c>
      <c r="AG154" s="1">
        <v>0</v>
      </c>
      <c r="AH154" s="1">
        <v>0</v>
      </c>
      <c r="AI154" s="1">
        <v>0</v>
      </c>
      <c r="AJ154" s="1">
        <v>0</v>
      </c>
      <c r="AK154" s="1">
        <v>0</v>
      </c>
      <c r="AL154" s="1">
        <v>0</v>
      </c>
      <c r="AM154" s="1">
        <v>0</v>
      </c>
      <c r="AN154" s="1">
        <v>0</v>
      </c>
      <c r="AO154" s="3">
        <v>0</v>
      </c>
      <c r="AP154" s="1">
        <v>0</v>
      </c>
      <c r="AQ154" s="1">
        <v>0</v>
      </c>
      <c r="AR154" s="1">
        <v>0</v>
      </c>
      <c r="AS154" s="1">
        <v>0</v>
      </c>
      <c r="AT154" s="1">
        <v>0</v>
      </c>
      <c r="AU154" s="1">
        <v>0</v>
      </c>
      <c r="AV154" s="1">
        <v>0</v>
      </c>
      <c r="AW154" s="1">
        <v>0</v>
      </c>
      <c r="AX154" s="1">
        <v>0</v>
      </c>
      <c r="AY154" s="1">
        <v>0</v>
      </c>
      <c r="AZ154" s="1">
        <v>0</v>
      </c>
      <c r="BA154" s="1">
        <v>0</v>
      </c>
      <c r="BB154" s="3">
        <v>0</v>
      </c>
      <c r="BC154" s="1">
        <v>0</v>
      </c>
      <c r="BD154" s="1">
        <v>0</v>
      </c>
      <c r="BE154" s="1">
        <v>0</v>
      </c>
      <c r="BF154" s="1">
        <v>0</v>
      </c>
      <c r="BG154" s="1">
        <v>0</v>
      </c>
      <c r="BH154" s="1">
        <v>0</v>
      </c>
      <c r="BI154" s="1">
        <v>0</v>
      </c>
      <c r="BJ154" s="1">
        <v>0</v>
      </c>
      <c r="BK154" s="1">
        <v>0</v>
      </c>
      <c r="BL154" s="1">
        <v>0</v>
      </c>
      <c r="BM154" s="1">
        <v>0</v>
      </c>
      <c r="BN154" s="1">
        <v>0</v>
      </c>
      <c r="BO154" s="3">
        <v>0</v>
      </c>
      <c r="BP154" s="3">
        <f t="shared" si="3"/>
        <v>0</v>
      </c>
    </row>
    <row r="155" spans="1:69" x14ac:dyDescent="0.2">
      <c r="A155" s="3">
        <v>108</v>
      </c>
      <c r="B155" t="s">
        <v>162</v>
      </c>
      <c r="C155" s="1">
        <v>0</v>
      </c>
      <c r="D155" s="1">
        <v>0</v>
      </c>
      <c r="E155" s="1">
        <v>0</v>
      </c>
      <c r="F155" s="1">
        <v>0</v>
      </c>
      <c r="G155" s="1">
        <v>0</v>
      </c>
      <c r="H155" s="1">
        <v>0</v>
      </c>
      <c r="I155" s="1">
        <v>0</v>
      </c>
      <c r="J155" s="1">
        <v>0</v>
      </c>
      <c r="K155" s="1">
        <v>0</v>
      </c>
      <c r="L155" s="1">
        <v>0</v>
      </c>
      <c r="M155" s="1">
        <v>0</v>
      </c>
      <c r="N155" s="1">
        <v>0</v>
      </c>
      <c r="O155" s="3">
        <v>0</v>
      </c>
      <c r="P155" s="1">
        <v>0</v>
      </c>
      <c r="Q155" s="1">
        <v>0</v>
      </c>
      <c r="R155" s="1">
        <v>0</v>
      </c>
      <c r="S155" s="1">
        <v>0</v>
      </c>
      <c r="T155" s="1">
        <v>0</v>
      </c>
      <c r="U155" s="1">
        <v>0</v>
      </c>
      <c r="V155" s="1">
        <v>0</v>
      </c>
      <c r="W155" s="1">
        <v>0</v>
      </c>
      <c r="X155" s="1">
        <v>0</v>
      </c>
      <c r="Y155" s="1">
        <v>0</v>
      </c>
      <c r="Z155" s="1">
        <v>0</v>
      </c>
      <c r="AA155" s="1">
        <v>0</v>
      </c>
      <c r="AB155" s="3">
        <v>0</v>
      </c>
      <c r="AC155" s="1">
        <v>0</v>
      </c>
      <c r="AD155" s="1">
        <v>0</v>
      </c>
      <c r="AE155" s="1">
        <v>0</v>
      </c>
      <c r="AF155" s="1">
        <v>0</v>
      </c>
      <c r="AG155" s="1">
        <v>0</v>
      </c>
      <c r="AH155" s="1">
        <v>0</v>
      </c>
      <c r="AI155" s="1">
        <v>0</v>
      </c>
      <c r="AJ155" s="1">
        <v>0</v>
      </c>
      <c r="AK155" s="1">
        <v>0</v>
      </c>
      <c r="AL155" s="1">
        <v>0</v>
      </c>
      <c r="AM155" s="1">
        <v>0</v>
      </c>
      <c r="AN155" s="1">
        <v>0</v>
      </c>
      <c r="AO155" s="3">
        <v>0</v>
      </c>
      <c r="AP155" s="1">
        <v>0</v>
      </c>
      <c r="AQ155" s="1">
        <v>0</v>
      </c>
      <c r="AR155" s="1">
        <v>0</v>
      </c>
      <c r="AS155" s="1">
        <v>0</v>
      </c>
      <c r="AT155" s="1">
        <v>0</v>
      </c>
      <c r="AU155" s="1">
        <v>0</v>
      </c>
      <c r="AV155" s="1">
        <v>0</v>
      </c>
      <c r="AW155" s="1">
        <v>0</v>
      </c>
      <c r="AX155" s="1">
        <v>0</v>
      </c>
      <c r="AY155" s="1">
        <v>0</v>
      </c>
      <c r="AZ155" s="1">
        <v>0</v>
      </c>
      <c r="BA155" s="1">
        <v>0</v>
      </c>
      <c r="BB155" s="3">
        <v>0</v>
      </c>
      <c r="BC155" s="1">
        <v>0</v>
      </c>
      <c r="BD155" s="1">
        <v>0</v>
      </c>
      <c r="BE155" s="1">
        <v>0</v>
      </c>
      <c r="BF155" s="1">
        <v>0</v>
      </c>
      <c r="BG155" s="1">
        <v>0</v>
      </c>
      <c r="BH155" s="1">
        <v>0</v>
      </c>
      <c r="BI155" s="1">
        <v>0</v>
      </c>
      <c r="BJ155" s="1">
        <v>0</v>
      </c>
      <c r="BK155" s="1">
        <v>0</v>
      </c>
      <c r="BL155" s="1">
        <v>0</v>
      </c>
      <c r="BM155" s="1">
        <v>0</v>
      </c>
      <c r="BN155" s="1">
        <v>0</v>
      </c>
      <c r="BO155" s="3">
        <v>0</v>
      </c>
      <c r="BP155" s="3">
        <f t="shared" si="3"/>
        <v>0</v>
      </c>
    </row>
    <row r="156" spans="1:69" s="2" customFormat="1" x14ac:dyDescent="0.2">
      <c r="A156" s="3" t="s">
        <v>302</v>
      </c>
      <c r="B156" s="2" t="s">
        <v>163</v>
      </c>
      <c r="C156" s="3">
        <v>1907</v>
      </c>
      <c r="D156" s="3">
        <v>3303</v>
      </c>
      <c r="E156" s="3">
        <v>3164</v>
      </c>
      <c r="F156" s="3">
        <v>5352</v>
      </c>
      <c r="G156" s="3">
        <v>5166</v>
      </c>
      <c r="H156" s="3">
        <v>5744</v>
      </c>
      <c r="I156" s="3">
        <v>3487</v>
      </c>
      <c r="J156" s="3">
        <v>2156</v>
      </c>
      <c r="K156" s="3">
        <v>3049</v>
      </c>
      <c r="L156" s="3">
        <v>5881</v>
      </c>
      <c r="M156" s="3">
        <v>8669</v>
      </c>
      <c r="N156" s="3">
        <v>8028</v>
      </c>
      <c r="O156" s="3">
        <v>55906</v>
      </c>
      <c r="P156" s="3">
        <v>7506</v>
      </c>
      <c r="Q156" s="3">
        <v>8624</v>
      </c>
      <c r="R156" s="3">
        <v>16619</v>
      </c>
      <c r="S156" s="3">
        <v>35467</v>
      </c>
      <c r="T156" s="3">
        <v>56801</v>
      </c>
      <c r="U156" s="3">
        <v>72976</v>
      </c>
      <c r="V156" s="3">
        <v>122413</v>
      </c>
      <c r="W156" s="3">
        <v>146514</v>
      </c>
      <c r="X156" s="3">
        <v>126646</v>
      </c>
      <c r="Y156" s="3">
        <v>133678</v>
      </c>
      <c r="Z156" s="3">
        <v>109370</v>
      </c>
      <c r="AA156" s="3">
        <v>123796</v>
      </c>
      <c r="AB156" s="3">
        <v>960410</v>
      </c>
      <c r="AC156" s="3">
        <v>124386</v>
      </c>
      <c r="AD156" s="3">
        <v>124992</v>
      </c>
      <c r="AE156" s="3">
        <v>143154</v>
      </c>
      <c r="AF156" s="3">
        <v>152813</v>
      </c>
      <c r="AG156" s="3">
        <v>157874</v>
      </c>
      <c r="AH156" s="3">
        <v>152199</v>
      </c>
      <c r="AI156" s="3">
        <v>230434</v>
      </c>
      <c r="AJ156" s="3">
        <v>241947</v>
      </c>
      <c r="AK156" s="3">
        <v>205072</v>
      </c>
      <c r="AL156" s="3">
        <v>187839</v>
      </c>
      <c r="AM156" s="3">
        <v>134215</v>
      </c>
      <c r="AN156" s="3">
        <v>145634</v>
      </c>
      <c r="AO156" s="3">
        <v>2000559</v>
      </c>
      <c r="AP156" s="3">
        <v>144115</v>
      </c>
      <c r="AQ156" s="3">
        <v>155491</v>
      </c>
      <c r="AR156" s="3">
        <v>183972</v>
      </c>
      <c r="AS156" s="3">
        <v>196091</v>
      </c>
      <c r="AT156" s="3">
        <v>190305</v>
      </c>
      <c r="AU156" s="3">
        <v>173285</v>
      </c>
      <c r="AV156" s="3">
        <v>273682</v>
      </c>
      <c r="AW156" s="3">
        <v>282418</v>
      </c>
      <c r="AX156" s="3">
        <v>233153</v>
      </c>
      <c r="AY156" s="3">
        <v>216860</v>
      </c>
      <c r="AZ156" s="3">
        <v>158444</v>
      </c>
      <c r="BA156" s="3">
        <v>162927</v>
      </c>
      <c r="BB156" s="3">
        <v>2370743</v>
      </c>
      <c r="BC156" s="3">
        <v>153716</v>
      </c>
      <c r="BD156" s="3">
        <v>153007</v>
      </c>
      <c r="BE156" s="3">
        <v>168856</v>
      </c>
      <c r="BF156" s="3">
        <v>214879</v>
      </c>
      <c r="BG156" s="3">
        <v>192325</v>
      </c>
      <c r="BH156" s="3">
        <v>195583</v>
      </c>
      <c r="BI156" s="3">
        <v>297547</v>
      </c>
      <c r="BJ156" s="3">
        <v>310493</v>
      </c>
      <c r="BK156" s="3">
        <v>236942</v>
      </c>
      <c r="BL156" s="3">
        <v>216379</v>
      </c>
      <c r="BM156" s="3">
        <v>152689</v>
      </c>
      <c r="BN156" s="3">
        <v>164535</v>
      </c>
      <c r="BO156" s="3">
        <v>2456951</v>
      </c>
      <c r="BP156" s="3"/>
      <c r="BQ156"/>
    </row>
    <row r="157" spans="1:69" x14ac:dyDescent="0.2">
      <c r="A157" s="3">
        <v>109</v>
      </c>
      <c r="B157" t="s">
        <v>164</v>
      </c>
      <c r="C157" s="1">
        <v>1369</v>
      </c>
      <c r="D157" s="1">
        <v>1607</v>
      </c>
      <c r="E157" s="1">
        <v>1224</v>
      </c>
      <c r="F157" s="1">
        <v>1804</v>
      </c>
      <c r="G157" s="1">
        <v>2159</v>
      </c>
      <c r="H157" s="1">
        <v>2131</v>
      </c>
      <c r="I157" s="1">
        <v>2508</v>
      </c>
      <c r="J157" s="1">
        <v>1735</v>
      </c>
      <c r="K157" s="1">
        <v>1337</v>
      </c>
      <c r="L157" s="1">
        <v>2116</v>
      </c>
      <c r="M157" s="1">
        <v>2306</v>
      </c>
      <c r="N157" s="1">
        <v>1666</v>
      </c>
      <c r="O157" s="3">
        <v>21962</v>
      </c>
      <c r="P157" s="1">
        <v>2002</v>
      </c>
      <c r="Q157" s="1">
        <v>1878</v>
      </c>
      <c r="R157" s="1">
        <v>3410</v>
      </c>
      <c r="S157" s="1">
        <v>7115</v>
      </c>
      <c r="T157" s="1">
        <v>12455</v>
      </c>
      <c r="U157" s="1">
        <v>19178</v>
      </c>
      <c r="V157" s="1">
        <v>23330</v>
      </c>
      <c r="W157" s="1">
        <v>21786</v>
      </c>
      <c r="X157" s="1">
        <v>22353</v>
      </c>
      <c r="Y157" s="1">
        <v>23351</v>
      </c>
      <c r="Z157" s="1">
        <v>23731</v>
      </c>
      <c r="AA157" s="1">
        <v>28175</v>
      </c>
      <c r="AB157" s="3">
        <v>188764</v>
      </c>
      <c r="AC157" s="1">
        <v>22651</v>
      </c>
      <c r="AD157" s="1">
        <v>25512</v>
      </c>
      <c r="AE157" s="1">
        <v>30982</v>
      </c>
      <c r="AF157" s="1">
        <v>31617</v>
      </c>
      <c r="AG157" s="1">
        <v>35524</v>
      </c>
      <c r="AH157" s="1">
        <v>39340</v>
      </c>
      <c r="AI157" s="1">
        <v>41147</v>
      </c>
      <c r="AJ157" s="1">
        <v>35359</v>
      </c>
      <c r="AK157" s="1">
        <v>35268</v>
      </c>
      <c r="AL157" s="1">
        <v>34065</v>
      </c>
      <c r="AM157" s="1">
        <v>29658</v>
      </c>
      <c r="AN157" s="1">
        <v>31187</v>
      </c>
      <c r="AO157" s="3">
        <v>392310</v>
      </c>
      <c r="AP157" s="1">
        <v>27006</v>
      </c>
      <c r="AQ157" s="1">
        <v>31090</v>
      </c>
      <c r="AR157" s="1">
        <v>39125</v>
      </c>
      <c r="AS157" s="1">
        <v>33869</v>
      </c>
      <c r="AT157" s="1">
        <v>36732</v>
      </c>
      <c r="AU157" s="1">
        <v>40025</v>
      </c>
      <c r="AV157" s="1">
        <v>41315</v>
      </c>
      <c r="AW157" s="1">
        <v>36925</v>
      </c>
      <c r="AX157" s="1">
        <v>33681</v>
      </c>
      <c r="AY157" s="1">
        <v>33465</v>
      </c>
      <c r="AZ157" s="1">
        <v>31602</v>
      </c>
      <c r="BA157" s="1">
        <v>31048</v>
      </c>
      <c r="BB157" s="3">
        <v>415883</v>
      </c>
      <c r="BC157" s="1">
        <v>29445</v>
      </c>
      <c r="BD157" s="1">
        <v>27373</v>
      </c>
      <c r="BE157" s="1">
        <v>34064</v>
      </c>
      <c r="BF157" s="1">
        <v>35776</v>
      </c>
      <c r="BG157" s="1">
        <v>35012</v>
      </c>
      <c r="BH157" s="1">
        <v>42727</v>
      </c>
      <c r="BI157" s="1">
        <v>41198</v>
      </c>
      <c r="BJ157" s="1">
        <v>34428</v>
      </c>
      <c r="BK157" s="1">
        <v>33392</v>
      </c>
      <c r="BL157" s="1">
        <v>33168</v>
      </c>
      <c r="BM157" s="1">
        <v>31008</v>
      </c>
      <c r="BN157" s="1">
        <v>34524</v>
      </c>
      <c r="BO157" s="3">
        <v>412115</v>
      </c>
      <c r="BP157" s="3">
        <f t="shared" si="3"/>
        <v>1431034</v>
      </c>
    </row>
    <row r="158" spans="1:69" x14ac:dyDescent="0.2">
      <c r="A158" s="3">
        <v>110</v>
      </c>
      <c r="B158" t="s">
        <v>165</v>
      </c>
      <c r="C158" s="1">
        <v>14</v>
      </c>
      <c r="D158" s="1">
        <v>76</v>
      </c>
      <c r="E158" s="1">
        <v>76</v>
      </c>
      <c r="F158" s="1">
        <v>127</v>
      </c>
      <c r="G158" s="1">
        <v>127</v>
      </c>
      <c r="H158" s="1">
        <v>137</v>
      </c>
      <c r="I158" s="1">
        <v>71</v>
      </c>
      <c r="J158" s="1">
        <v>21</v>
      </c>
      <c r="K158" s="1">
        <v>64</v>
      </c>
      <c r="L158" s="1">
        <v>166</v>
      </c>
      <c r="M158" s="1">
        <v>210</v>
      </c>
      <c r="N158" s="1">
        <v>153</v>
      </c>
      <c r="O158" s="3">
        <v>1242</v>
      </c>
      <c r="P158" s="1">
        <v>175</v>
      </c>
      <c r="Q158" s="1">
        <v>168</v>
      </c>
      <c r="R158" s="1">
        <v>523</v>
      </c>
      <c r="S158" s="1">
        <v>1312</v>
      </c>
      <c r="T158" s="1">
        <v>2451</v>
      </c>
      <c r="U158" s="1">
        <v>2589</v>
      </c>
      <c r="V158" s="1">
        <v>3241</v>
      </c>
      <c r="W158" s="1">
        <v>3891</v>
      </c>
      <c r="X158" s="1">
        <v>4522</v>
      </c>
      <c r="Y158" s="1">
        <v>5432</v>
      </c>
      <c r="Z158" s="1">
        <v>5812</v>
      </c>
      <c r="AA158" s="1">
        <v>5926</v>
      </c>
      <c r="AB158" s="3">
        <v>36042</v>
      </c>
      <c r="AC158" s="1">
        <v>6561</v>
      </c>
      <c r="AD158" s="1">
        <v>7787</v>
      </c>
      <c r="AE158" s="1">
        <v>7780</v>
      </c>
      <c r="AF158" s="1">
        <v>7044</v>
      </c>
      <c r="AG158" s="1">
        <v>7937</v>
      </c>
      <c r="AH158" s="1">
        <v>5972</v>
      </c>
      <c r="AI158" s="1">
        <v>6720</v>
      </c>
      <c r="AJ158" s="1">
        <v>5600</v>
      </c>
      <c r="AK158" s="1">
        <v>7104</v>
      </c>
      <c r="AL158" s="1">
        <v>7473</v>
      </c>
      <c r="AM158" s="1">
        <v>6854</v>
      </c>
      <c r="AN158" s="1">
        <v>6864</v>
      </c>
      <c r="AO158" s="3">
        <v>83696</v>
      </c>
      <c r="AP158" s="1">
        <v>7277</v>
      </c>
      <c r="AQ158" s="1">
        <v>8522</v>
      </c>
      <c r="AR158" s="1">
        <v>8707</v>
      </c>
      <c r="AS158" s="1">
        <v>7490</v>
      </c>
      <c r="AT158" s="1">
        <v>7769</v>
      </c>
      <c r="AU158" s="1">
        <v>5440</v>
      </c>
      <c r="AV158" s="1">
        <v>6749</v>
      </c>
      <c r="AW158" s="1">
        <v>6381</v>
      </c>
      <c r="AX158" s="1">
        <v>7042</v>
      </c>
      <c r="AY158" s="1">
        <v>7741</v>
      </c>
      <c r="AZ158" s="1">
        <v>7131</v>
      </c>
      <c r="BA158" s="1">
        <v>7632</v>
      </c>
      <c r="BB158" s="3">
        <v>87881</v>
      </c>
      <c r="BC158" s="1">
        <v>9092</v>
      </c>
      <c r="BD158" s="1">
        <v>8550</v>
      </c>
      <c r="BE158" s="1">
        <v>9286</v>
      </c>
      <c r="BF158" s="1">
        <v>8725</v>
      </c>
      <c r="BG158" s="1">
        <v>8386</v>
      </c>
      <c r="BH158" s="1">
        <v>6334</v>
      </c>
      <c r="BI158" s="1">
        <v>7690</v>
      </c>
      <c r="BJ158" s="1">
        <v>7117</v>
      </c>
      <c r="BK158" s="1">
        <v>7768</v>
      </c>
      <c r="BL158" s="1">
        <v>8304</v>
      </c>
      <c r="BM158" s="1">
        <v>7840</v>
      </c>
      <c r="BN158" s="1">
        <v>8466</v>
      </c>
      <c r="BO158" s="3">
        <v>97558</v>
      </c>
      <c r="BP158" s="3">
        <f t="shared" si="3"/>
        <v>306419</v>
      </c>
    </row>
    <row r="159" spans="1:69" x14ac:dyDescent="0.2">
      <c r="A159" s="3">
        <v>111</v>
      </c>
      <c r="B159" t="s">
        <v>166</v>
      </c>
      <c r="C159" s="1">
        <v>45</v>
      </c>
      <c r="D159" s="1">
        <v>56</v>
      </c>
      <c r="E159" s="1">
        <v>84</v>
      </c>
      <c r="F159" s="1">
        <v>117</v>
      </c>
      <c r="G159" s="1">
        <v>111</v>
      </c>
      <c r="H159" s="1">
        <v>136</v>
      </c>
      <c r="I159" s="1">
        <v>60</v>
      </c>
      <c r="J159" s="1">
        <v>24</v>
      </c>
      <c r="K159" s="1">
        <v>41</v>
      </c>
      <c r="L159" s="1">
        <v>79</v>
      </c>
      <c r="M159" s="1">
        <v>114</v>
      </c>
      <c r="N159" s="1">
        <v>85</v>
      </c>
      <c r="O159" s="3">
        <v>952</v>
      </c>
      <c r="P159" s="1">
        <v>126</v>
      </c>
      <c r="Q159" s="1">
        <v>112</v>
      </c>
      <c r="R159" s="1">
        <v>238</v>
      </c>
      <c r="S159" s="1">
        <v>651</v>
      </c>
      <c r="T159" s="1">
        <v>1355</v>
      </c>
      <c r="U159" s="1">
        <v>1663</v>
      </c>
      <c r="V159" s="1">
        <v>1729</v>
      </c>
      <c r="W159" s="1">
        <v>1956</v>
      </c>
      <c r="X159" s="1">
        <v>1863</v>
      </c>
      <c r="Y159" s="1">
        <v>1720</v>
      </c>
      <c r="Z159" s="1">
        <v>1325</v>
      </c>
      <c r="AA159" s="1">
        <v>2117</v>
      </c>
      <c r="AB159" s="3">
        <v>14855</v>
      </c>
      <c r="AC159" s="1">
        <v>1701</v>
      </c>
      <c r="AD159" s="1">
        <v>1616</v>
      </c>
      <c r="AE159" s="1">
        <v>1876</v>
      </c>
      <c r="AF159" s="1">
        <v>2608</v>
      </c>
      <c r="AG159" s="1">
        <v>2707</v>
      </c>
      <c r="AH159" s="1">
        <v>2754</v>
      </c>
      <c r="AI159" s="1">
        <v>2523</v>
      </c>
      <c r="AJ159" s="1">
        <v>2881</v>
      </c>
      <c r="AK159" s="1">
        <v>3014</v>
      </c>
      <c r="AL159" s="1">
        <v>2515</v>
      </c>
      <c r="AM159" s="1">
        <v>2079</v>
      </c>
      <c r="AN159" s="1">
        <v>3223</v>
      </c>
      <c r="AO159" s="3">
        <v>29497</v>
      </c>
      <c r="AP159" s="1">
        <v>2170</v>
      </c>
      <c r="AQ159" s="1">
        <v>2091</v>
      </c>
      <c r="AR159" s="1">
        <v>2594</v>
      </c>
      <c r="AS159" s="1">
        <v>2632</v>
      </c>
      <c r="AT159" s="1">
        <v>3156</v>
      </c>
      <c r="AU159" s="1">
        <v>2725</v>
      </c>
      <c r="AV159" s="1">
        <v>2960</v>
      </c>
      <c r="AW159" s="1">
        <v>2917</v>
      </c>
      <c r="AX159" s="1">
        <v>3122</v>
      </c>
      <c r="AY159" s="1">
        <v>2487</v>
      </c>
      <c r="AZ159" s="1">
        <v>2279</v>
      </c>
      <c r="BA159" s="1">
        <v>2824</v>
      </c>
      <c r="BB159" s="3">
        <v>31957</v>
      </c>
      <c r="BC159" s="1">
        <v>2241</v>
      </c>
      <c r="BD159" s="1">
        <v>1788</v>
      </c>
      <c r="BE159" s="1">
        <v>2406</v>
      </c>
      <c r="BF159" s="1">
        <v>3089</v>
      </c>
      <c r="BG159" s="1">
        <v>3178</v>
      </c>
      <c r="BH159" s="1">
        <v>3115</v>
      </c>
      <c r="BI159" s="1">
        <v>2920</v>
      </c>
      <c r="BJ159" s="1">
        <v>3120</v>
      </c>
      <c r="BK159" s="1">
        <v>3320</v>
      </c>
      <c r="BL159" s="1">
        <v>3385</v>
      </c>
      <c r="BM159" s="1">
        <v>2441</v>
      </c>
      <c r="BN159" s="1">
        <v>3494</v>
      </c>
      <c r="BO159" s="3">
        <v>34497</v>
      </c>
      <c r="BP159" s="3">
        <f t="shared" si="3"/>
        <v>111758</v>
      </c>
    </row>
    <row r="160" spans="1:69" x14ac:dyDescent="0.2">
      <c r="A160" s="3">
        <v>112</v>
      </c>
      <c r="B160" t="s">
        <v>167</v>
      </c>
      <c r="C160" s="1">
        <v>1</v>
      </c>
      <c r="D160" s="1">
        <v>9</v>
      </c>
      <c r="E160" s="1">
        <v>3</v>
      </c>
      <c r="F160" s="1">
        <v>7</v>
      </c>
      <c r="G160" s="1">
        <v>15</v>
      </c>
      <c r="H160" s="1">
        <v>19</v>
      </c>
      <c r="I160" s="1">
        <v>5</v>
      </c>
      <c r="J160" s="1">
        <v>3</v>
      </c>
      <c r="K160" s="1">
        <v>8</v>
      </c>
      <c r="L160" s="1">
        <v>6</v>
      </c>
      <c r="M160" s="1">
        <v>15</v>
      </c>
      <c r="N160" s="1">
        <v>5</v>
      </c>
      <c r="O160" s="3">
        <v>96</v>
      </c>
      <c r="P160" s="1">
        <v>14</v>
      </c>
      <c r="Q160" s="1">
        <v>22</v>
      </c>
      <c r="R160" s="1">
        <v>25</v>
      </c>
      <c r="S160" s="1">
        <v>92</v>
      </c>
      <c r="T160" s="1">
        <v>184</v>
      </c>
      <c r="U160" s="1">
        <v>314</v>
      </c>
      <c r="V160" s="1">
        <v>265</v>
      </c>
      <c r="W160" s="1">
        <v>528</v>
      </c>
      <c r="X160" s="1">
        <v>484</v>
      </c>
      <c r="Y160" s="1">
        <v>579</v>
      </c>
      <c r="Z160" s="1">
        <v>755</v>
      </c>
      <c r="AA160" s="1">
        <v>730</v>
      </c>
      <c r="AB160" s="3">
        <v>3992</v>
      </c>
      <c r="AC160" s="1">
        <v>919</v>
      </c>
      <c r="AD160" s="1">
        <v>1325</v>
      </c>
      <c r="AE160" s="1">
        <v>1172</v>
      </c>
      <c r="AF160" s="1">
        <v>1134</v>
      </c>
      <c r="AG160" s="1">
        <v>1185</v>
      </c>
      <c r="AH160" s="1">
        <v>825</v>
      </c>
      <c r="AI160" s="1">
        <v>965</v>
      </c>
      <c r="AJ160" s="1">
        <v>1168</v>
      </c>
      <c r="AK160" s="1">
        <v>1386</v>
      </c>
      <c r="AL160" s="1">
        <v>1399</v>
      </c>
      <c r="AM160" s="1">
        <v>1501</v>
      </c>
      <c r="AN160" s="1">
        <v>1593</v>
      </c>
      <c r="AO160" s="3">
        <v>14572</v>
      </c>
      <c r="AP160" s="1">
        <v>1473</v>
      </c>
      <c r="AQ160" s="1">
        <v>1325</v>
      </c>
      <c r="AR160" s="1">
        <v>1596</v>
      </c>
      <c r="AS160" s="1">
        <v>1200</v>
      </c>
      <c r="AT160" s="1">
        <v>1271</v>
      </c>
      <c r="AU160" s="1">
        <v>990</v>
      </c>
      <c r="AV160" s="1">
        <v>966</v>
      </c>
      <c r="AW160" s="1">
        <v>1035</v>
      </c>
      <c r="AX160" s="1">
        <v>1049</v>
      </c>
      <c r="AY160" s="1">
        <v>1227</v>
      </c>
      <c r="AZ160" s="1">
        <v>1203</v>
      </c>
      <c r="BA160" s="1">
        <v>1335</v>
      </c>
      <c r="BB160" s="3">
        <v>14670</v>
      </c>
      <c r="BC160" s="1">
        <v>1175</v>
      </c>
      <c r="BD160" s="1">
        <v>1120</v>
      </c>
      <c r="BE160" s="1">
        <v>1467</v>
      </c>
      <c r="BF160" s="1">
        <v>1426</v>
      </c>
      <c r="BG160" s="1">
        <v>1372</v>
      </c>
      <c r="BH160" s="1">
        <v>1152</v>
      </c>
      <c r="BI160" s="1">
        <v>1073</v>
      </c>
      <c r="BJ160" s="1">
        <v>1106</v>
      </c>
      <c r="BK160" s="1">
        <v>1327</v>
      </c>
      <c r="BL160" s="1">
        <v>1542</v>
      </c>
      <c r="BM160" s="1">
        <v>1603</v>
      </c>
      <c r="BN160" s="1">
        <v>1682</v>
      </c>
      <c r="BO160" s="3">
        <v>16045</v>
      </c>
      <c r="BP160" s="3">
        <f t="shared" si="3"/>
        <v>49375</v>
      </c>
    </row>
    <row r="161" spans="1:68" x14ac:dyDescent="0.2">
      <c r="A161" s="3">
        <v>113</v>
      </c>
      <c r="B161" t="s">
        <v>168</v>
      </c>
      <c r="C161" s="1">
        <v>2</v>
      </c>
      <c r="D161" s="1">
        <v>4</v>
      </c>
      <c r="E161" s="1">
        <v>7</v>
      </c>
      <c r="F161" s="1">
        <v>17</v>
      </c>
      <c r="G161" s="1">
        <v>11</v>
      </c>
      <c r="H161" s="1">
        <v>14</v>
      </c>
      <c r="I161" s="1">
        <v>9</v>
      </c>
      <c r="J161" s="1">
        <v>2</v>
      </c>
      <c r="K161" s="1">
        <v>5</v>
      </c>
      <c r="L161" s="1">
        <v>6</v>
      </c>
      <c r="M161" s="1">
        <v>23</v>
      </c>
      <c r="N161" s="1">
        <v>14</v>
      </c>
      <c r="O161" s="3">
        <v>114</v>
      </c>
      <c r="P161" s="1">
        <v>17</v>
      </c>
      <c r="Q161" s="1">
        <v>27</v>
      </c>
      <c r="R161" s="1">
        <v>25</v>
      </c>
      <c r="S161" s="1">
        <v>90</v>
      </c>
      <c r="T161" s="1">
        <v>253</v>
      </c>
      <c r="U161" s="1">
        <v>319</v>
      </c>
      <c r="V161" s="1">
        <v>393</v>
      </c>
      <c r="W161" s="1">
        <v>502</v>
      </c>
      <c r="X161" s="1">
        <v>448</v>
      </c>
      <c r="Y161" s="1">
        <v>510</v>
      </c>
      <c r="Z161" s="1">
        <v>481</v>
      </c>
      <c r="AA161" s="1">
        <v>463</v>
      </c>
      <c r="AB161" s="3">
        <v>3528</v>
      </c>
      <c r="AC161" s="1">
        <v>833</v>
      </c>
      <c r="AD161" s="1">
        <v>697</v>
      </c>
      <c r="AE161" s="1">
        <v>802</v>
      </c>
      <c r="AF161" s="1">
        <v>871</v>
      </c>
      <c r="AG161" s="1">
        <v>918</v>
      </c>
      <c r="AH161" s="1">
        <v>931</v>
      </c>
      <c r="AI161" s="1">
        <v>837</v>
      </c>
      <c r="AJ161" s="1">
        <v>851</v>
      </c>
      <c r="AK161" s="1">
        <v>1006</v>
      </c>
      <c r="AL161" s="1">
        <v>858</v>
      </c>
      <c r="AM161" s="1">
        <v>838</v>
      </c>
      <c r="AN161" s="1">
        <v>880</v>
      </c>
      <c r="AO161" s="3">
        <v>10322</v>
      </c>
      <c r="AP161" s="1">
        <v>1275</v>
      </c>
      <c r="AQ161" s="1">
        <v>1070</v>
      </c>
      <c r="AR161" s="1">
        <v>930</v>
      </c>
      <c r="AS161" s="1">
        <v>1077</v>
      </c>
      <c r="AT161" s="1">
        <v>1023</v>
      </c>
      <c r="AU161" s="1">
        <v>851</v>
      </c>
      <c r="AV161" s="1">
        <v>882</v>
      </c>
      <c r="AW161" s="1">
        <v>879</v>
      </c>
      <c r="AX161" s="1">
        <v>1001</v>
      </c>
      <c r="AY161" s="1">
        <v>1000</v>
      </c>
      <c r="AZ161" s="1">
        <v>835</v>
      </c>
      <c r="BA161" s="1">
        <v>948</v>
      </c>
      <c r="BB161" s="3">
        <v>11771</v>
      </c>
      <c r="BC161" s="1">
        <v>1305</v>
      </c>
      <c r="BD161" s="1">
        <v>1076</v>
      </c>
      <c r="BE161" s="1">
        <v>1143</v>
      </c>
      <c r="BF161" s="1">
        <v>1210</v>
      </c>
      <c r="BG161" s="1">
        <v>1254</v>
      </c>
      <c r="BH161" s="1">
        <v>1015</v>
      </c>
      <c r="BI161" s="1">
        <v>924</v>
      </c>
      <c r="BJ161" s="1">
        <v>958</v>
      </c>
      <c r="BK161" s="1">
        <v>1127</v>
      </c>
      <c r="BL161" s="1">
        <v>1297</v>
      </c>
      <c r="BM161" s="1">
        <v>1036</v>
      </c>
      <c r="BN161" s="1">
        <v>869</v>
      </c>
      <c r="BO161" s="3">
        <v>13214</v>
      </c>
      <c r="BP161" s="3">
        <f t="shared" si="3"/>
        <v>38949</v>
      </c>
    </row>
    <row r="162" spans="1:68" x14ac:dyDescent="0.2">
      <c r="A162" s="3">
        <v>114</v>
      </c>
      <c r="B162" t="s">
        <v>169</v>
      </c>
      <c r="C162" s="1">
        <v>2</v>
      </c>
      <c r="D162" s="1">
        <v>5</v>
      </c>
      <c r="E162" s="1">
        <v>9</v>
      </c>
      <c r="F162" s="1">
        <v>16</v>
      </c>
      <c r="G162" s="1">
        <v>16</v>
      </c>
      <c r="H162" s="1">
        <v>20</v>
      </c>
      <c r="I162" s="1">
        <v>12</v>
      </c>
      <c r="J162" s="1">
        <v>0</v>
      </c>
      <c r="K162" s="1">
        <v>4</v>
      </c>
      <c r="L162" s="1">
        <v>11</v>
      </c>
      <c r="M162" s="1">
        <v>23</v>
      </c>
      <c r="N162" s="1">
        <v>17</v>
      </c>
      <c r="O162" s="3">
        <v>135</v>
      </c>
      <c r="P162" s="1">
        <v>16</v>
      </c>
      <c r="Q162" s="1">
        <v>21</v>
      </c>
      <c r="R162" s="1">
        <v>54</v>
      </c>
      <c r="S162" s="1">
        <v>149</v>
      </c>
      <c r="T162" s="1">
        <v>251</v>
      </c>
      <c r="U162" s="1">
        <v>330</v>
      </c>
      <c r="V162" s="1">
        <v>551</v>
      </c>
      <c r="W162" s="1">
        <v>539</v>
      </c>
      <c r="X162" s="1">
        <v>713</v>
      </c>
      <c r="Y162" s="1">
        <v>828</v>
      </c>
      <c r="Z162" s="1">
        <v>845</v>
      </c>
      <c r="AA162" s="1">
        <v>795</v>
      </c>
      <c r="AB162" s="3">
        <v>5092</v>
      </c>
      <c r="AC162" s="1">
        <v>694</v>
      </c>
      <c r="AD162" s="1">
        <v>695</v>
      </c>
      <c r="AE162" s="1">
        <v>1026</v>
      </c>
      <c r="AF162" s="1">
        <v>1220</v>
      </c>
      <c r="AG162" s="1">
        <v>1052</v>
      </c>
      <c r="AH162" s="1">
        <v>1054</v>
      </c>
      <c r="AI162" s="1">
        <v>1241</v>
      </c>
      <c r="AJ162" s="1">
        <v>1038</v>
      </c>
      <c r="AK162" s="1">
        <v>1873</v>
      </c>
      <c r="AL162" s="1">
        <v>1323</v>
      </c>
      <c r="AM162" s="1">
        <v>1808</v>
      </c>
      <c r="AN162" s="1">
        <v>1317</v>
      </c>
      <c r="AO162" s="3">
        <v>14341</v>
      </c>
      <c r="AP162" s="1">
        <v>1051</v>
      </c>
      <c r="AQ162" s="1">
        <v>1099</v>
      </c>
      <c r="AR162" s="1">
        <v>1612</v>
      </c>
      <c r="AS162" s="1">
        <v>1193</v>
      </c>
      <c r="AT162" s="1">
        <v>1453</v>
      </c>
      <c r="AU162" s="1">
        <v>1123</v>
      </c>
      <c r="AV162" s="1">
        <v>1535</v>
      </c>
      <c r="AW162" s="1">
        <v>1112</v>
      </c>
      <c r="AX162" s="1">
        <v>1498</v>
      </c>
      <c r="AY162" s="1">
        <v>1513</v>
      </c>
      <c r="AZ162" s="1">
        <v>1813</v>
      </c>
      <c r="BA162" s="1">
        <v>1235</v>
      </c>
      <c r="BB162" s="3">
        <v>16237</v>
      </c>
      <c r="BC162" s="1">
        <v>876</v>
      </c>
      <c r="BD162" s="1">
        <v>993</v>
      </c>
      <c r="BE162" s="1">
        <v>1219</v>
      </c>
      <c r="BF162" s="1">
        <v>1734</v>
      </c>
      <c r="BG162" s="1">
        <v>1508</v>
      </c>
      <c r="BH162" s="1">
        <v>1354</v>
      </c>
      <c r="BI162" s="1">
        <v>1391</v>
      </c>
      <c r="BJ162" s="1">
        <v>1121</v>
      </c>
      <c r="BK162" s="1">
        <v>1529</v>
      </c>
      <c r="BL162" s="1">
        <v>1709</v>
      </c>
      <c r="BM162" s="1">
        <v>1925</v>
      </c>
      <c r="BN162" s="1">
        <v>1366</v>
      </c>
      <c r="BO162" s="3">
        <v>16725</v>
      </c>
      <c r="BP162" s="3">
        <f t="shared" si="3"/>
        <v>52530</v>
      </c>
    </row>
    <row r="163" spans="1:68" x14ac:dyDescent="0.2">
      <c r="A163" s="3">
        <v>115</v>
      </c>
      <c r="B163" t="s">
        <v>170</v>
      </c>
      <c r="C163" s="1">
        <v>0</v>
      </c>
      <c r="D163" s="1">
        <v>2</v>
      </c>
      <c r="E163" s="1">
        <v>4</v>
      </c>
      <c r="F163" s="1">
        <v>7</v>
      </c>
      <c r="G163" s="1">
        <v>10</v>
      </c>
      <c r="H163" s="1">
        <v>18</v>
      </c>
      <c r="I163" s="1">
        <v>11</v>
      </c>
      <c r="J163" s="1">
        <v>0</v>
      </c>
      <c r="K163" s="1">
        <v>7</v>
      </c>
      <c r="L163" s="1">
        <v>6</v>
      </c>
      <c r="M163" s="1">
        <v>9</v>
      </c>
      <c r="N163" s="1">
        <v>17</v>
      </c>
      <c r="O163" s="3">
        <v>91</v>
      </c>
      <c r="P163" s="1">
        <v>17</v>
      </c>
      <c r="Q163" s="1">
        <v>21</v>
      </c>
      <c r="R163" s="1">
        <v>36</v>
      </c>
      <c r="S163" s="1">
        <v>75</v>
      </c>
      <c r="T163" s="1">
        <v>135</v>
      </c>
      <c r="U163" s="1">
        <v>169</v>
      </c>
      <c r="V163" s="1">
        <v>238</v>
      </c>
      <c r="W163" s="1">
        <v>244</v>
      </c>
      <c r="X163" s="1">
        <v>246</v>
      </c>
      <c r="Y163" s="1">
        <v>395</v>
      </c>
      <c r="Z163" s="1">
        <v>391</v>
      </c>
      <c r="AA163" s="1">
        <v>363</v>
      </c>
      <c r="AB163" s="3">
        <v>2330</v>
      </c>
      <c r="AC163" s="1">
        <v>493</v>
      </c>
      <c r="AD163" s="1">
        <v>823</v>
      </c>
      <c r="AE163" s="1">
        <v>726</v>
      </c>
      <c r="AF163" s="1">
        <v>725</v>
      </c>
      <c r="AG163" s="1">
        <v>823</v>
      </c>
      <c r="AH163" s="1">
        <v>688</v>
      </c>
      <c r="AI163" s="1">
        <v>659</v>
      </c>
      <c r="AJ163" s="1">
        <v>752</v>
      </c>
      <c r="AK163" s="1">
        <v>990</v>
      </c>
      <c r="AL163" s="1">
        <v>892</v>
      </c>
      <c r="AM163" s="1">
        <v>841</v>
      </c>
      <c r="AN163" s="1">
        <v>758</v>
      </c>
      <c r="AO163" s="3">
        <v>9170</v>
      </c>
      <c r="AP163" s="1">
        <v>874</v>
      </c>
      <c r="AQ163" s="1">
        <v>1191</v>
      </c>
      <c r="AR163" s="1">
        <v>904</v>
      </c>
      <c r="AS163" s="1">
        <v>1031</v>
      </c>
      <c r="AT163" s="1">
        <v>1011</v>
      </c>
      <c r="AU163" s="1">
        <v>814</v>
      </c>
      <c r="AV163" s="1">
        <v>840</v>
      </c>
      <c r="AW163" s="1">
        <v>778</v>
      </c>
      <c r="AX163" s="1">
        <v>957</v>
      </c>
      <c r="AY163" s="1">
        <v>815</v>
      </c>
      <c r="AZ163" s="1">
        <v>856</v>
      </c>
      <c r="BA163" s="1">
        <v>622</v>
      </c>
      <c r="BB163" s="3">
        <v>10693</v>
      </c>
      <c r="BC163" s="1">
        <v>864</v>
      </c>
      <c r="BD163" s="1">
        <v>1178</v>
      </c>
      <c r="BE163" s="1">
        <v>964</v>
      </c>
      <c r="BF163" s="1">
        <v>963</v>
      </c>
      <c r="BG163" s="1">
        <v>1012</v>
      </c>
      <c r="BH163" s="1">
        <v>825</v>
      </c>
      <c r="BI163" s="1">
        <v>780</v>
      </c>
      <c r="BJ163" s="1">
        <v>807</v>
      </c>
      <c r="BK163" s="1">
        <v>927</v>
      </c>
      <c r="BL163" s="1">
        <v>860</v>
      </c>
      <c r="BM163" s="1">
        <v>800</v>
      </c>
      <c r="BN163" s="1">
        <v>732</v>
      </c>
      <c r="BO163" s="3">
        <v>10712</v>
      </c>
      <c r="BP163" s="3">
        <f t="shared" si="3"/>
        <v>32996</v>
      </c>
    </row>
    <row r="164" spans="1:68" x14ac:dyDescent="0.2">
      <c r="A164" s="3">
        <v>116</v>
      </c>
      <c r="B164" t="s">
        <v>171</v>
      </c>
      <c r="C164" s="1">
        <v>8</v>
      </c>
      <c r="D164" s="1">
        <v>3</v>
      </c>
      <c r="E164" s="1">
        <v>8</v>
      </c>
      <c r="F164" s="1">
        <v>8</v>
      </c>
      <c r="G164" s="1">
        <v>9</v>
      </c>
      <c r="H164" s="1">
        <v>13</v>
      </c>
      <c r="I164" s="1">
        <v>4</v>
      </c>
      <c r="J164" s="1">
        <v>6</v>
      </c>
      <c r="K164" s="1">
        <v>5</v>
      </c>
      <c r="L164" s="1">
        <v>3</v>
      </c>
      <c r="M164" s="1">
        <v>6</v>
      </c>
      <c r="N164" s="1">
        <v>14</v>
      </c>
      <c r="O164" s="3">
        <v>87</v>
      </c>
      <c r="P164" s="1">
        <v>10</v>
      </c>
      <c r="Q164" s="1">
        <v>9</v>
      </c>
      <c r="R164" s="1">
        <v>18</v>
      </c>
      <c r="S164" s="1">
        <v>42</v>
      </c>
      <c r="T164" s="1">
        <v>65</v>
      </c>
      <c r="U164" s="1">
        <v>62</v>
      </c>
      <c r="V164" s="1">
        <v>56</v>
      </c>
      <c r="W164" s="1">
        <v>79</v>
      </c>
      <c r="X164" s="1">
        <v>62</v>
      </c>
      <c r="Y164" s="1">
        <v>128</v>
      </c>
      <c r="Z164" s="1">
        <v>85</v>
      </c>
      <c r="AA164" s="1">
        <v>101</v>
      </c>
      <c r="AB164" s="3">
        <v>717</v>
      </c>
      <c r="AC164" s="1">
        <v>102</v>
      </c>
      <c r="AD164" s="1">
        <v>116</v>
      </c>
      <c r="AE164" s="1">
        <v>143</v>
      </c>
      <c r="AF164" s="1">
        <v>128</v>
      </c>
      <c r="AG164" s="1">
        <v>120</v>
      </c>
      <c r="AH164" s="1">
        <v>140</v>
      </c>
      <c r="AI164" s="1">
        <v>185</v>
      </c>
      <c r="AJ164" s="1">
        <v>169</v>
      </c>
      <c r="AK164" s="1">
        <v>158</v>
      </c>
      <c r="AL164" s="1">
        <v>262</v>
      </c>
      <c r="AM164" s="1">
        <v>227</v>
      </c>
      <c r="AN164" s="1">
        <v>146</v>
      </c>
      <c r="AO164" s="3">
        <v>1896</v>
      </c>
      <c r="AP164" s="1">
        <v>123</v>
      </c>
      <c r="AQ164" s="1">
        <v>143</v>
      </c>
      <c r="AR164" s="1">
        <v>188</v>
      </c>
      <c r="AS164" s="1">
        <v>130</v>
      </c>
      <c r="AT164" s="1">
        <v>170</v>
      </c>
      <c r="AU164" s="1">
        <v>115</v>
      </c>
      <c r="AV164" s="1">
        <v>146</v>
      </c>
      <c r="AW164" s="1">
        <v>162</v>
      </c>
      <c r="AX164" s="1">
        <v>178</v>
      </c>
      <c r="AY164" s="1">
        <v>177</v>
      </c>
      <c r="AZ164" s="1">
        <v>207</v>
      </c>
      <c r="BA164" s="1">
        <v>152</v>
      </c>
      <c r="BB164" s="3">
        <v>1891</v>
      </c>
      <c r="BC164" s="1">
        <v>130</v>
      </c>
      <c r="BD164" s="1">
        <v>120</v>
      </c>
      <c r="BE164" s="1">
        <v>139</v>
      </c>
      <c r="BF164" s="1">
        <v>251</v>
      </c>
      <c r="BG164" s="1">
        <v>169</v>
      </c>
      <c r="BH164" s="1">
        <v>175</v>
      </c>
      <c r="BI164" s="1">
        <v>125</v>
      </c>
      <c r="BJ164" s="1">
        <v>177</v>
      </c>
      <c r="BK164" s="1">
        <v>184</v>
      </c>
      <c r="BL164" s="1">
        <v>209</v>
      </c>
      <c r="BM164" s="1">
        <v>216</v>
      </c>
      <c r="BN164" s="1">
        <v>200</v>
      </c>
      <c r="BO164" s="3">
        <v>2095</v>
      </c>
      <c r="BP164" s="3">
        <f t="shared" si="3"/>
        <v>6686</v>
      </c>
    </row>
    <row r="165" spans="1:68" x14ac:dyDescent="0.2">
      <c r="A165" s="3">
        <v>117</v>
      </c>
      <c r="B165" t="s">
        <v>172</v>
      </c>
      <c r="C165" s="1">
        <v>4</v>
      </c>
      <c r="D165" s="1">
        <v>0</v>
      </c>
      <c r="E165" s="1">
        <v>1</v>
      </c>
      <c r="F165" s="1">
        <v>1</v>
      </c>
      <c r="G165" s="1">
        <v>4</v>
      </c>
      <c r="H165" s="1">
        <v>7</v>
      </c>
      <c r="I165" s="1">
        <v>2</v>
      </c>
      <c r="J165" s="1">
        <v>0</v>
      </c>
      <c r="K165" s="1">
        <v>4</v>
      </c>
      <c r="L165" s="1">
        <v>0</v>
      </c>
      <c r="M165" s="1">
        <v>3</v>
      </c>
      <c r="N165" s="1">
        <v>3</v>
      </c>
      <c r="O165" s="3">
        <v>29</v>
      </c>
      <c r="P165" s="1">
        <v>0</v>
      </c>
      <c r="Q165" s="1">
        <v>1</v>
      </c>
      <c r="R165" s="1">
        <v>5</v>
      </c>
      <c r="S165" s="1">
        <v>13</v>
      </c>
      <c r="T165" s="1">
        <v>7</v>
      </c>
      <c r="U165" s="1">
        <v>20</v>
      </c>
      <c r="V165" s="1">
        <v>21</v>
      </c>
      <c r="W165" s="1">
        <v>25</v>
      </c>
      <c r="X165" s="1">
        <v>20</v>
      </c>
      <c r="Y165" s="1">
        <v>54</v>
      </c>
      <c r="Z165" s="1">
        <v>35</v>
      </c>
      <c r="AA165" s="1">
        <v>35</v>
      </c>
      <c r="AB165" s="3">
        <v>236</v>
      </c>
      <c r="AC165" s="1">
        <v>29</v>
      </c>
      <c r="AD165" s="1">
        <v>25</v>
      </c>
      <c r="AE165" s="1">
        <v>45</v>
      </c>
      <c r="AF165" s="1">
        <v>50</v>
      </c>
      <c r="AG165" s="1">
        <v>41</v>
      </c>
      <c r="AH165" s="1">
        <v>33</v>
      </c>
      <c r="AI165" s="1">
        <v>53</v>
      </c>
      <c r="AJ165" s="1">
        <v>52</v>
      </c>
      <c r="AK165" s="1">
        <v>42</v>
      </c>
      <c r="AL165" s="1">
        <v>92</v>
      </c>
      <c r="AM165" s="1">
        <v>40</v>
      </c>
      <c r="AN165" s="1">
        <v>41</v>
      </c>
      <c r="AO165" s="3">
        <v>543</v>
      </c>
      <c r="AP165" s="1">
        <v>30</v>
      </c>
      <c r="AQ165" s="1">
        <v>37</v>
      </c>
      <c r="AR165" s="1">
        <v>79</v>
      </c>
      <c r="AS165" s="1">
        <v>49</v>
      </c>
      <c r="AT165" s="1">
        <v>46</v>
      </c>
      <c r="AU165" s="1">
        <v>27</v>
      </c>
      <c r="AV165" s="1">
        <v>59</v>
      </c>
      <c r="AW165" s="1">
        <v>66</v>
      </c>
      <c r="AX165" s="1">
        <v>66</v>
      </c>
      <c r="AY165" s="1">
        <v>50</v>
      </c>
      <c r="AZ165" s="1">
        <v>66</v>
      </c>
      <c r="BA165" s="1">
        <v>44</v>
      </c>
      <c r="BB165" s="3">
        <v>619</v>
      </c>
      <c r="BC165" s="1">
        <v>53</v>
      </c>
      <c r="BD165" s="1">
        <v>59</v>
      </c>
      <c r="BE165" s="1">
        <v>57</v>
      </c>
      <c r="BF165" s="1">
        <v>71</v>
      </c>
      <c r="BG165" s="1">
        <v>63</v>
      </c>
      <c r="BH165" s="1">
        <v>61</v>
      </c>
      <c r="BI165" s="1">
        <v>47</v>
      </c>
      <c r="BJ165" s="1">
        <v>80</v>
      </c>
      <c r="BK165" s="1">
        <v>60</v>
      </c>
      <c r="BL165" s="1">
        <v>66</v>
      </c>
      <c r="BM165" s="1">
        <v>92</v>
      </c>
      <c r="BN165" s="1">
        <v>72</v>
      </c>
      <c r="BO165" s="3">
        <v>781</v>
      </c>
      <c r="BP165" s="3">
        <f t="shared" si="3"/>
        <v>2208</v>
      </c>
    </row>
    <row r="166" spans="1:68" x14ac:dyDescent="0.2">
      <c r="A166" s="3">
        <v>118</v>
      </c>
      <c r="B166" t="s">
        <v>173</v>
      </c>
      <c r="C166" s="1">
        <v>2</v>
      </c>
      <c r="D166" s="1">
        <v>1</v>
      </c>
      <c r="E166" s="1">
        <v>0</v>
      </c>
      <c r="F166" s="1">
        <v>3</v>
      </c>
      <c r="G166" s="1">
        <v>0</v>
      </c>
      <c r="H166" s="1">
        <v>3</v>
      </c>
      <c r="I166" s="1">
        <v>0</v>
      </c>
      <c r="J166" s="1">
        <v>1</v>
      </c>
      <c r="K166" s="1">
        <v>0</v>
      </c>
      <c r="L166" s="1">
        <v>0</v>
      </c>
      <c r="M166" s="1">
        <v>2</v>
      </c>
      <c r="N166" s="1">
        <v>0</v>
      </c>
      <c r="O166" s="3">
        <v>12</v>
      </c>
      <c r="P166" s="1">
        <v>1</v>
      </c>
      <c r="Q166" s="1">
        <v>2</v>
      </c>
      <c r="R166" s="1">
        <v>5</v>
      </c>
      <c r="S166" s="1">
        <v>2</v>
      </c>
      <c r="T166" s="1">
        <v>12</v>
      </c>
      <c r="U166" s="1">
        <v>9</v>
      </c>
      <c r="V166" s="1">
        <v>15</v>
      </c>
      <c r="W166" s="1">
        <v>16</v>
      </c>
      <c r="X166" s="1">
        <v>7</v>
      </c>
      <c r="Y166" s="1">
        <v>22</v>
      </c>
      <c r="Z166" s="1">
        <v>13</v>
      </c>
      <c r="AA166" s="1">
        <v>20</v>
      </c>
      <c r="AB166" s="3">
        <v>124</v>
      </c>
      <c r="AC166" s="1">
        <v>20</v>
      </c>
      <c r="AD166" s="1">
        <v>40</v>
      </c>
      <c r="AE166" s="1">
        <v>27</v>
      </c>
      <c r="AF166" s="1">
        <v>10</v>
      </c>
      <c r="AG166" s="1">
        <v>30</v>
      </c>
      <c r="AH166" s="1">
        <v>43</v>
      </c>
      <c r="AI166" s="1">
        <v>32</v>
      </c>
      <c r="AJ166" s="1">
        <v>40</v>
      </c>
      <c r="AK166" s="1">
        <v>41</v>
      </c>
      <c r="AL166" s="1">
        <v>81</v>
      </c>
      <c r="AM166" s="1">
        <v>73</v>
      </c>
      <c r="AN166" s="1">
        <v>44</v>
      </c>
      <c r="AO166" s="3">
        <v>481</v>
      </c>
      <c r="AP166" s="1">
        <v>38</v>
      </c>
      <c r="AQ166" s="1">
        <v>34</v>
      </c>
      <c r="AR166" s="1">
        <v>51</v>
      </c>
      <c r="AS166" s="1">
        <v>28</v>
      </c>
      <c r="AT166" s="1">
        <v>48</v>
      </c>
      <c r="AU166" s="1">
        <v>38</v>
      </c>
      <c r="AV166" s="1">
        <v>34</v>
      </c>
      <c r="AW166" s="1">
        <v>41</v>
      </c>
      <c r="AX166" s="1">
        <v>39</v>
      </c>
      <c r="AY166" s="1">
        <v>38</v>
      </c>
      <c r="AZ166" s="1">
        <v>63</v>
      </c>
      <c r="BA166" s="1">
        <v>50</v>
      </c>
      <c r="BB166" s="3">
        <v>502</v>
      </c>
      <c r="BC166" s="1">
        <v>27</v>
      </c>
      <c r="BD166" s="1">
        <v>30</v>
      </c>
      <c r="BE166" s="1">
        <v>32</v>
      </c>
      <c r="BF166" s="1">
        <v>107</v>
      </c>
      <c r="BG166" s="1">
        <v>42</v>
      </c>
      <c r="BH166" s="1">
        <v>56</v>
      </c>
      <c r="BI166" s="1">
        <v>25</v>
      </c>
      <c r="BJ166" s="1">
        <v>34</v>
      </c>
      <c r="BK166" s="1">
        <v>51</v>
      </c>
      <c r="BL166" s="1">
        <v>59</v>
      </c>
      <c r="BM166" s="1">
        <v>54</v>
      </c>
      <c r="BN166" s="1">
        <v>66</v>
      </c>
      <c r="BO166" s="3">
        <v>583</v>
      </c>
      <c r="BP166" s="3">
        <f t="shared" si="3"/>
        <v>1702</v>
      </c>
    </row>
    <row r="167" spans="1:68" x14ac:dyDescent="0.2">
      <c r="A167" s="3">
        <v>119</v>
      </c>
      <c r="B167" t="s">
        <v>174</v>
      </c>
      <c r="C167" s="1">
        <v>2</v>
      </c>
      <c r="D167" s="1">
        <v>1</v>
      </c>
      <c r="E167" s="1">
        <v>5</v>
      </c>
      <c r="F167" s="1">
        <v>2</v>
      </c>
      <c r="G167" s="1">
        <v>1</v>
      </c>
      <c r="H167" s="1">
        <v>0</v>
      </c>
      <c r="I167" s="1">
        <v>2</v>
      </c>
      <c r="J167" s="1">
        <v>4</v>
      </c>
      <c r="K167" s="1">
        <v>0</v>
      </c>
      <c r="L167" s="1">
        <v>1</v>
      </c>
      <c r="M167" s="1">
        <v>1</v>
      </c>
      <c r="N167" s="1">
        <v>2</v>
      </c>
      <c r="O167" s="3">
        <v>21</v>
      </c>
      <c r="P167" s="1">
        <v>5</v>
      </c>
      <c r="Q167" s="1">
        <v>5</v>
      </c>
      <c r="R167" s="1">
        <v>3</v>
      </c>
      <c r="S167" s="1">
        <v>20</v>
      </c>
      <c r="T167" s="1">
        <v>15</v>
      </c>
      <c r="U167" s="1">
        <v>19</v>
      </c>
      <c r="V167" s="1">
        <v>11</v>
      </c>
      <c r="W167" s="1">
        <v>16</v>
      </c>
      <c r="X167" s="1">
        <v>18</v>
      </c>
      <c r="Y167" s="1">
        <v>21</v>
      </c>
      <c r="Z167" s="1">
        <v>19</v>
      </c>
      <c r="AA167" s="1">
        <v>14</v>
      </c>
      <c r="AB167" s="3">
        <v>166</v>
      </c>
      <c r="AC167" s="1">
        <v>21</v>
      </c>
      <c r="AD167" s="1">
        <v>26</v>
      </c>
      <c r="AE167" s="1">
        <v>37</v>
      </c>
      <c r="AF167" s="1">
        <v>27</v>
      </c>
      <c r="AG167" s="1">
        <v>25</v>
      </c>
      <c r="AH167" s="1">
        <v>29</v>
      </c>
      <c r="AI167" s="1">
        <v>52</v>
      </c>
      <c r="AJ167" s="1">
        <v>32</v>
      </c>
      <c r="AK167" s="1">
        <v>33</v>
      </c>
      <c r="AL167" s="1">
        <v>45</v>
      </c>
      <c r="AM167" s="1">
        <v>68</v>
      </c>
      <c r="AN167" s="1">
        <v>34</v>
      </c>
      <c r="AO167" s="3">
        <v>429</v>
      </c>
      <c r="AP167" s="1">
        <v>20</v>
      </c>
      <c r="AQ167" s="1">
        <v>33</v>
      </c>
      <c r="AR167" s="1">
        <v>21</v>
      </c>
      <c r="AS167" s="1">
        <v>18</v>
      </c>
      <c r="AT167" s="1">
        <v>24</v>
      </c>
      <c r="AU167" s="1">
        <v>21</v>
      </c>
      <c r="AV167" s="1">
        <v>23</v>
      </c>
      <c r="AW167" s="1">
        <v>17</v>
      </c>
      <c r="AX167" s="1">
        <v>21</v>
      </c>
      <c r="AY167" s="1">
        <v>29</v>
      </c>
      <c r="AZ167" s="1">
        <v>21</v>
      </c>
      <c r="BA167" s="1">
        <v>14</v>
      </c>
      <c r="BB167" s="3">
        <v>262</v>
      </c>
      <c r="BC167" s="1">
        <v>16</v>
      </c>
      <c r="BD167" s="1">
        <v>12</v>
      </c>
      <c r="BE167" s="1">
        <v>13</v>
      </c>
      <c r="BF167" s="1">
        <v>25</v>
      </c>
      <c r="BG167" s="1">
        <v>23</v>
      </c>
      <c r="BH167" s="1">
        <v>14</v>
      </c>
      <c r="BI167" s="1">
        <v>21</v>
      </c>
      <c r="BJ167" s="1">
        <v>22</v>
      </c>
      <c r="BK167" s="1">
        <v>31</v>
      </c>
      <c r="BL167" s="1">
        <v>36</v>
      </c>
      <c r="BM167" s="1">
        <v>25</v>
      </c>
      <c r="BN167" s="1">
        <v>21</v>
      </c>
      <c r="BO167" s="3">
        <v>259</v>
      </c>
      <c r="BP167" s="3">
        <f t="shared" si="3"/>
        <v>1137</v>
      </c>
    </row>
    <row r="168" spans="1:68" x14ac:dyDescent="0.2">
      <c r="A168" s="3">
        <v>120</v>
      </c>
      <c r="B168" t="s">
        <v>175</v>
      </c>
      <c r="C168" s="1">
        <v>0</v>
      </c>
      <c r="D168" s="1">
        <v>1</v>
      </c>
      <c r="E168" s="1">
        <v>1</v>
      </c>
      <c r="F168" s="1">
        <v>1</v>
      </c>
      <c r="G168" s="1">
        <v>4</v>
      </c>
      <c r="H168" s="1">
        <v>2</v>
      </c>
      <c r="I168" s="1">
        <v>0</v>
      </c>
      <c r="J168" s="1">
        <v>0</v>
      </c>
      <c r="K168" s="1">
        <v>1</v>
      </c>
      <c r="L168" s="1">
        <v>0</v>
      </c>
      <c r="M168" s="1">
        <v>0</v>
      </c>
      <c r="N168" s="1">
        <v>8</v>
      </c>
      <c r="O168" s="3">
        <v>18</v>
      </c>
      <c r="P168" s="1">
        <v>2</v>
      </c>
      <c r="Q168" s="1">
        <v>1</v>
      </c>
      <c r="R168" s="1">
        <v>2</v>
      </c>
      <c r="S168" s="1">
        <v>1</v>
      </c>
      <c r="T168" s="1">
        <v>18</v>
      </c>
      <c r="U168" s="1">
        <v>7</v>
      </c>
      <c r="V168" s="1">
        <v>2</v>
      </c>
      <c r="W168" s="1">
        <v>8</v>
      </c>
      <c r="X168" s="1">
        <v>10</v>
      </c>
      <c r="Y168" s="1">
        <v>10</v>
      </c>
      <c r="Z168" s="1">
        <v>8</v>
      </c>
      <c r="AA168" s="1">
        <v>17</v>
      </c>
      <c r="AB168" s="3">
        <v>86</v>
      </c>
      <c r="AC168" s="1">
        <v>9</v>
      </c>
      <c r="AD168" s="1">
        <v>14</v>
      </c>
      <c r="AE168" s="1">
        <v>12</v>
      </c>
      <c r="AF168" s="1">
        <v>19</v>
      </c>
      <c r="AG168" s="1">
        <v>11</v>
      </c>
      <c r="AH168" s="1">
        <v>11</v>
      </c>
      <c r="AI168" s="1">
        <v>20</v>
      </c>
      <c r="AJ168" s="1">
        <v>9</v>
      </c>
      <c r="AK168" s="1">
        <v>16</v>
      </c>
      <c r="AL168" s="1">
        <v>17</v>
      </c>
      <c r="AM168" s="1">
        <v>24</v>
      </c>
      <c r="AN168" s="1">
        <v>9</v>
      </c>
      <c r="AO168" s="3">
        <v>171</v>
      </c>
      <c r="AP168" s="1">
        <v>22</v>
      </c>
      <c r="AQ168" s="1">
        <v>15</v>
      </c>
      <c r="AR168" s="1">
        <v>11</v>
      </c>
      <c r="AS168" s="1">
        <v>18</v>
      </c>
      <c r="AT168" s="1">
        <v>12</v>
      </c>
      <c r="AU168" s="1">
        <v>7</v>
      </c>
      <c r="AV168" s="1">
        <v>7</v>
      </c>
      <c r="AW168" s="1">
        <v>13</v>
      </c>
      <c r="AX168" s="1">
        <v>19</v>
      </c>
      <c r="AY168" s="1">
        <v>22</v>
      </c>
      <c r="AZ168" s="1">
        <v>30</v>
      </c>
      <c r="BA168" s="1">
        <v>12</v>
      </c>
      <c r="BB168" s="3">
        <v>188</v>
      </c>
      <c r="BC168" s="1">
        <v>15</v>
      </c>
      <c r="BD168" s="1">
        <v>8</v>
      </c>
      <c r="BE168" s="1">
        <v>16</v>
      </c>
      <c r="BF168" s="1">
        <v>16</v>
      </c>
      <c r="BG168" s="1">
        <v>15</v>
      </c>
      <c r="BH168" s="1">
        <v>18</v>
      </c>
      <c r="BI168" s="1">
        <v>9</v>
      </c>
      <c r="BJ168" s="1">
        <v>15</v>
      </c>
      <c r="BK168" s="1">
        <v>14</v>
      </c>
      <c r="BL168" s="1">
        <v>26</v>
      </c>
      <c r="BM168" s="1">
        <v>12</v>
      </c>
      <c r="BN168" s="1">
        <v>13</v>
      </c>
      <c r="BO168" s="3">
        <v>177</v>
      </c>
      <c r="BP168" s="3">
        <f t="shared" si="3"/>
        <v>640</v>
      </c>
    </row>
    <row r="169" spans="1:68" x14ac:dyDescent="0.2">
      <c r="A169" s="3">
        <v>121</v>
      </c>
      <c r="B169" t="s">
        <v>176</v>
      </c>
      <c r="C169" s="1">
        <v>0</v>
      </c>
      <c r="D169" s="1">
        <v>0</v>
      </c>
      <c r="E169" s="1">
        <v>1</v>
      </c>
      <c r="F169" s="1">
        <v>0</v>
      </c>
      <c r="G169" s="1">
        <v>0</v>
      </c>
      <c r="H169" s="1">
        <v>0</v>
      </c>
      <c r="I169" s="1">
        <v>0</v>
      </c>
      <c r="J169" s="1">
        <v>1</v>
      </c>
      <c r="K169" s="1">
        <v>0</v>
      </c>
      <c r="L169" s="1">
        <v>1</v>
      </c>
      <c r="M169" s="1">
        <v>0</v>
      </c>
      <c r="N169" s="1">
        <v>0</v>
      </c>
      <c r="O169" s="3">
        <v>3</v>
      </c>
      <c r="P169" s="1">
        <v>0</v>
      </c>
      <c r="Q169" s="1">
        <v>0</v>
      </c>
      <c r="R169" s="1">
        <v>2</v>
      </c>
      <c r="S169" s="1">
        <v>3</v>
      </c>
      <c r="T169" s="1">
        <v>9</v>
      </c>
      <c r="U169" s="1">
        <v>5</v>
      </c>
      <c r="V169" s="1">
        <v>5</v>
      </c>
      <c r="W169" s="1">
        <v>12</v>
      </c>
      <c r="X169" s="1">
        <v>6</v>
      </c>
      <c r="Y169" s="1">
        <v>13</v>
      </c>
      <c r="Z169" s="1">
        <v>4</v>
      </c>
      <c r="AA169" s="1">
        <v>7</v>
      </c>
      <c r="AB169" s="3">
        <v>66</v>
      </c>
      <c r="AC169" s="1">
        <v>8</v>
      </c>
      <c r="AD169" s="1">
        <v>6</v>
      </c>
      <c r="AE169" s="1">
        <v>13</v>
      </c>
      <c r="AF169" s="1">
        <v>13</v>
      </c>
      <c r="AG169" s="1">
        <v>8</v>
      </c>
      <c r="AH169" s="1">
        <v>16</v>
      </c>
      <c r="AI169" s="1">
        <v>20</v>
      </c>
      <c r="AJ169" s="1">
        <v>22</v>
      </c>
      <c r="AK169" s="1">
        <v>19</v>
      </c>
      <c r="AL169" s="1">
        <v>17</v>
      </c>
      <c r="AM169" s="1">
        <v>12</v>
      </c>
      <c r="AN169" s="1">
        <v>9</v>
      </c>
      <c r="AO169" s="3">
        <v>163</v>
      </c>
      <c r="AP169" s="1">
        <v>9</v>
      </c>
      <c r="AQ169" s="1">
        <v>10</v>
      </c>
      <c r="AR169" s="1">
        <v>17</v>
      </c>
      <c r="AS169" s="1">
        <v>10</v>
      </c>
      <c r="AT169" s="1">
        <v>25</v>
      </c>
      <c r="AU169" s="1">
        <v>5</v>
      </c>
      <c r="AV169" s="1">
        <v>13</v>
      </c>
      <c r="AW169" s="1">
        <v>15</v>
      </c>
      <c r="AX169" s="1">
        <v>22</v>
      </c>
      <c r="AY169" s="1">
        <v>23</v>
      </c>
      <c r="AZ169" s="1">
        <v>13</v>
      </c>
      <c r="BA169" s="1">
        <v>16</v>
      </c>
      <c r="BB169" s="3">
        <v>178</v>
      </c>
      <c r="BC169" s="1">
        <v>12</v>
      </c>
      <c r="BD169" s="1">
        <v>3</v>
      </c>
      <c r="BE169" s="1">
        <v>8</v>
      </c>
      <c r="BF169" s="1">
        <v>23</v>
      </c>
      <c r="BG169" s="1">
        <v>20</v>
      </c>
      <c r="BH169" s="1">
        <v>21</v>
      </c>
      <c r="BI169" s="1">
        <v>15</v>
      </c>
      <c r="BJ169" s="1">
        <v>20</v>
      </c>
      <c r="BK169" s="1">
        <v>22</v>
      </c>
      <c r="BL169" s="1">
        <v>16</v>
      </c>
      <c r="BM169" s="1">
        <v>17</v>
      </c>
      <c r="BN169" s="1">
        <v>14</v>
      </c>
      <c r="BO169" s="3">
        <v>191</v>
      </c>
      <c r="BP169" s="3">
        <f t="shared" si="3"/>
        <v>601</v>
      </c>
    </row>
    <row r="170" spans="1:68" x14ac:dyDescent="0.2">
      <c r="A170" s="3">
        <v>122</v>
      </c>
      <c r="B170" t="s">
        <v>177</v>
      </c>
      <c r="C170" s="1">
        <v>0</v>
      </c>
      <c r="D170" s="1">
        <v>0</v>
      </c>
      <c r="E170" s="1">
        <v>0</v>
      </c>
      <c r="F170" s="1">
        <v>0</v>
      </c>
      <c r="G170" s="1">
        <v>0</v>
      </c>
      <c r="H170" s="1">
        <v>1</v>
      </c>
      <c r="I170" s="1">
        <v>0</v>
      </c>
      <c r="J170" s="1">
        <v>0</v>
      </c>
      <c r="K170" s="1">
        <v>0</v>
      </c>
      <c r="L170" s="1">
        <v>0</v>
      </c>
      <c r="M170" s="1">
        <v>0</v>
      </c>
      <c r="N170" s="1">
        <v>1</v>
      </c>
      <c r="O170" s="3">
        <v>2</v>
      </c>
      <c r="P170" s="1">
        <v>2</v>
      </c>
      <c r="Q170" s="1">
        <v>0</v>
      </c>
      <c r="R170" s="1">
        <v>1</v>
      </c>
      <c r="S170" s="1">
        <v>2</v>
      </c>
      <c r="T170" s="1">
        <v>3</v>
      </c>
      <c r="U170" s="1">
        <v>1</v>
      </c>
      <c r="V170" s="1">
        <v>1</v>
      </c>
      <c r="W170" s="1">
        <v>1</v>
      </c>
      <c r="X170" s="1">
        <v>1</v>
      </c>
      <c r="Y170" s="1">
        <v>6</v>
      </c>
      <c r="Z170" s="1">
        <v>0</v>
      </c>
      <c r="AA170" s="1">
        <v>7</v>
      </c>
      <c r="AB170" s="3">
        <v>25</v>
      </c>
      <c r="AC170" s="1">
        <v>5</v>
      </c>
      <c r="AD170" s="1">
        <v>3</v>
      </c>
      <c r="AE170" s="1">
        <v>6</v>
      </c>
      <c r="AF170" s="1">
        <v>4</v>
      </c>
      <c r="AG170" s="1">
        <v>2</v>
      </c>
      <c r="AH170" s="1">
        <v>3</v>
      </c>
      <c r="AI170" s="1">
        <v>4</v>
      </c>
      <c r="AJ170" s="1">
        <v>10</v>
      </c>
      <c r="AK170" s="1">
        <v>4</v>
      </c>
      <c r="AL170" s="1">
        <v>6</v>
      </c>
      <c r="AM170" s="1">
        <v>9</v>
      </c>
      <c r="AN170" s="1">
        <v>5</v>
      </c>
      <c r="AO170" s="3">
        <v>61</v>
      </c>
      <c r="AP170" s="1">
        <v>2</v>
      </c>
      <c r="AQ170" s="1">
        <v>10</v>
      </c>
      <c r="AR170" s="1">
        <v>4</v>
      </c>
      <c r="AS170" s="1">
        <v>5</v>
      </c>
      <c r="AT170" s="1">
        <v>3</v>
      </c>
      <c r="AU170" s="1">
        <v>7</v>
      </c>
      <c r="AV170" s="1">
        <v>2</v>
      </c>
      <c r="AW170" s="1">
        <v>6</v>
      </c>
      <c r="AX170" s="1">
        <v>11</v>
      </c>
      <c r="AY170" s="1">
        <v>9</v>
      </c>
      <c r="AZ170" s="1">
        <v>7</v>
      </c>
      <c r="BA170" s="1">
        <v>14</v>
      </c>
      <c r="BB170" s="3">
        <v>80</v>
      </c>
      <c r="BC170" s="1">
        <v>2</v>
      </c>
      <c r="BD170" s="1">
        <v>3</v>
      </c>
      <c r="BE170" s="1">
        <v>7</v>
      </c>
      <c r="BF170" s="1">
        <v>6</v>
      </c>
      <c r="BG170" s="1">
        <v>4</v>
      </c>
      <c r="BH170" s="1">
        <v>2</v>
      </c>
      <c r="BI170" s="1">
        <v>4</v>
      </c>
      <c r="BJ170" s="1">
        <v>5</v>
      </c>
      <c r="BK170" s="1">
        <v>3</v>
      </c>
      <c r="BL170" s="1">
        <v>3</v>
      </c>
      <c r="BM170" s="1">
        <v>15</v>
      </c>
      <c r="BN170" s="1">
        <v>13</v>
      </c>
      <c r="BO170" s="3">
        <v>67</v>
      </c>
      <c r="BP170" s="3">
        <f t="shared" si="3"/>
        <v>235</v>
      </c>
    </row>
    <row r="171" spans="1:68" x14ac:dyDescent="0.2">
      <c r="A171" s="3">
        <v>123</v>
      </c>
      <c r="B171" t="s">
        <v>178</v>
      </c>
      <c r="C171" s="1">
        <v>0</v>
      </c>
      <c r="D171" s="1">
        <v>0</v>
      </c>
      <c r="E171" s="1">
        <v>0</v>
      </c>
      <c r="F171" s="1">
        <v>1</v>
      </c>
      <c r="G171" s="1">
        <v>0</v>
      </c>
      <c r="H171" s="1">
        <v>0</v>
      </c>
      <c r="I171" s="1">
        <v>0</v>
      </c>
      <c r="J171" s="1">
        <v>0</v>
      </c>
      <c r="K171" s="1">
        <v>0</v>
      </c>
      <c r="L171" s="1">
        <v>1</v>
      </c>
      <c r="M171" s="1">
        <v>0</v>
      </c>
      <c r="N171" s="1">
        <v>0</v>
      </c>
      <c r="O171" s="3">
        <v>2</v>
      </c>
      <c r="P171" s="1">
        <v>0</v>
      </c>
      <c r="Q171" s="1">
        <v>0</v>
      </c>
      <c r="R171" s="1">
        <v>0</v>
      </c>
      <c r="S171" s="1">
        <v>1</v>
      </c>
      <c r="T171" s="1">
        <v>1</v>
      </c>
      <c r="U171" s="1">
        <v>1</v>
      </c>
      <c r="V171" s="1">
        <v>1</v>
      </c>
      <c r="W171" s="1">
        <v>1</v>
      </c>
      <c r="X171" s="1">
        <v>0</v>
      </c>
      <c r="Y171" s="1">
        <v>2</v>
      </c>
      <c r="Z171" s="1">
        <v>6</v>
      </c>
      <c r="AA171" s="1">
        <v>1</v>
      </c>
      <c r="AB171" s="3">
        <v>14</v>
      </c>
      <c r="AC171" s="1">
        <v>10</v>
      </c>
      <c r="AD171" s="1">
        <v>2</v>
      </c>
      <c r="AE171" s="1">
        <v>3</v>
      </c>
      <c r="AF171" s="1">
        <v>5</v>
      </c>
      <c r="AG171" s="1">
        <v>3</v>
      </c>
      <c r="AH171" s="1">
        <v>5</v>
      </c>
      <c r="AI171" s="1">
        <v>4</v>
      </c>
      <c r="AJ171" s="1">
        <v>4</v>
      </c>
      <c r="AK171" s="1">
        <v>3</v>
      </c>
      <c r="AL171" s="1">
        <v>4</v>
      </c>
      <c r="AM171" s="1">
        <v>1</v>
      </c>
      <c r="AN171" s="1">
        <v>4</v>
      </c>
      <c r="AO171" s="3">
        <v>48</v>
      </c>
      <c r="AP171" s="1">
        <v>2</v>
      </c>
      <c r="AQ171" s="1">
        <v>4</v>
      </c>
      <c r="AR171" s="1">
        <v>5</v>
      </c>
      <c r="AS171" s="1">
        <v>2</v>
      </c>
      <c r="AT171" s="1">
        <v>12</v>
      </c>
      <c r="AU171" s="1">
        <v>10</v>
      </c>
      <c r="AV171" s="1">
        <v>8</v>
      </c>
      <c r="AW171" s="1">
        <v>4</v>
      </c>
      <c r="AX171" s="1">
        <v>0</v>
      </c>
      <c r="AY171" s="1">
        <v>6</v>
      </c>
      <c r="AZ171" s="1">
        <v>7</v>
      </c>
      <c r="BA171" s="1">
        <v>2</v>
      </c>
      <c r="BB171" s="3">
        <v>62</v>
      </c>
      <c r="BC171" s="1">
        <v>5</v>
      </c>
      <c r="BD171" s="1">
        <v>5</v>
      </c>
      <c r="BE171" s="1">
        <v>6</v>
      </c>
      <c r="BF171" s="1">
        <v>3</v>
      </c>
      <c r="BG171" s="1">
        <v>2</v>
      </c>
      <c r="BH171" s="1">
        <v>3</v>
      </c>
      <c r="BI171" s="1">
        <v>4</v>
      </c>
      <c r="BJ171" s="1">
        <v>1</v>
      </c>
      <c r="BK171" s="1">
        <v>3</v>
      </c>
      <c r="BL171" s="1">
        <v>3</v>
      </c>
      <c r="BM171" s="1">
        <v>1</v>
      </c>
      <c r="BN171" s="1">
        <v>1</v>
      </c>
      <c r="BO171" s="3">
        <v>37</v>
      </c>
      <c r="BP171" s="3">
        <f t="shared" si="3"/>
        <v>163</v>
      </c>
    </row>
    <row r="172" spans="1:68" x14ac:dyDescent="0.2">
      <c r="A172" s="3">
        <v>124</v>
      </c>
      <c r="B172" t="s">
        <v>179</v>
      </c>
      <c r="C172" s="1">
        <v>6</v>
      </c>
      <c r="D172" s="1">
        <v>8</v>
      </c>
      <c r="E172" s="1">
        <v>15</v>
      </c>
      <c r="F172" s="1">
        <v>24</v>
      </c>
      <c r="G172" s="1">
        <v>22</v>
      </c>
      <c r="H172" s="1">
        <v>32</v>
      </c>
      <c r="I172" s="1">
        <v>22</v>
      </c>
      <c r="J172" s="1">
        <v>7</v>
      </c>
      <c r="K172" s="1">
        <v>7</v>
      </c>
      <c r="L172" s="1">
        <v>20</v>
      </c>
      <c r="M172" s="1">
        <v>24</v>
      </c>
      <c r="N172" s="1">
        <v>10</v>
      </c>
      <c r="O172" s="3">
        <v>197</v>
      </c>
      <c r="P172" s="1">
        <v>19</v>
      </c>
      <c r="Q172" s="1">
        <v>35</v>
      </c>
      <c r="R172" s="1">
        <v>75</v>
      </c>
      <c r="S172" s="1">
        <v>66</v>
      </c>
      <c r="T172" s="1">
        <v>132</v>
      </c>
      <c r="U172" s="1">
        <v>232</v>
      </c>
      <c r="V172" s="1">
        <v>270</v>
      </c>
      <c r="W172" s="1">
        <v>324</v>
      </c>
      <c r="X172" s="1">
        <v>346</v>
      </c>
      <c r="Y172" s="1">
        <v>541</v>
      </c>
      <c r="Z172" s="1">
        <v>345</v>
      </c>
      <c r="AA172" s="1">
        <v>344</v>
      </c>
      <c r="AB172" s="3">
        <v>2729</v>
      </c>
      <c r="AC172" s="1">
        <v>414</v>
      </c>
      <c r="AD172" s="1">
        <v>787</v>
      </c>
      <c r="AE172" s="1">
        <v>842</v>
      </c>
      <c r="AF172" s="1">
        <v>771</v>
      </c>
      <c r="AG172" s="1">
        <v>762</v>
      </c>
      <c r="AH172" s="1">
        <v>591</v>
      </c>
      <c r="AI172" s="1">
        <v>626</v>
      </c>
      <c r="AJ172" s="1">
        <v>719</v>
      </c>
      <c r="AK172" s="1">
        <v>743</v>
      </c>
      <c r="AL172" s="1">
        <v>730</v>
      </c>
      <c r="AM172" s="1">
        <v>687</v>
      </c>
      <c r="AN172" s="1">
        <v>540</v>
      </c>
      <c r="AO172" s="3">
        <v>8212</v>
      </c>
      <c r="AP172" s="1">
        <v>620</v>
      </c>
      <c r="AQ172" s="1">
        <v>638</v>
      </c>
      <c r="AR172" s="1">
        <v>830</v>
      </c>
      <c r="AS172" s="1">
        <v>976</v>
      </c>
      <c r="AT172" s="1">
        <v>731</v>
      </c>
      <c r="AU172" s="1">
        <v>729</v>
      </c>
      <c r="AV172" s="1">
        <v>727</v>
      </c>
      <c r="AW172" s="1">
        <v>712</v>
      </c>
      <c r="AX172" s="1">
        <v>759</v>
      </c>
      <c r="AY172" s="1">
        <v>712</v>
      </c>
      <c r="AZ172" s="1">
        <v>711</v>
      </c>
      <c r="BA172" s="1">
        <v>588</v>
      </c>
      <c r="BB172" s="3">
        <v>8733</v>
      </c>
      <c r="BC172" s="1">
        <v>544</v>
      </c>
      <c r="BD172" s="1">
        <v>591</v>
      </c>
      <c r="BE172" s="1">
        <v>896</v>
      </c>
      <c r="BF172" s="1">
        <v>869</v>
      </c>
      <c r="BG172" s="1">
        <v>781</v>
      </c>
      <c r="BH172" s="1">
        <v>825</v>
      </c>
      <c r="BI172" s="1">
        <v>765</v>
      </c>
      <c r="BJ172" s="1">
        <v>819</v>
      </c>
      <c r="BK172" s="1">
        <v>859</v>
      </c>
      <c r="BL172" s="1">
        <v>833</v>
      </c>
      <c r="BM172" s="1">
        <v>729</v>
      </c>
      <c r="BN172" s="1">
        <v>674</v>
      </c>
      <c r="BO172" s="3">
        <v>9185</v>
      </c>
      <c r="BP172" s="3">
        <f t="shared" si="3"/>
        <v>29056</v>
      </c>
    </row>
    <row r="173" spans="1:68" x14ac:dyDescent="0.2">
      <c r="A173" s="3">
        <v>125</v>
      </c>
      <c r="B173" t="s">
        <v>180</v>
      </c>
      <c r="C173" s="1">
        <v>1</v>
      </c>
      <c r="D173" s="1">
        <v>2</v>
      </c>
      <c r="E173" s="1">
        <v>5</v>
      </c>
      <c r="F173" s="1">
        <v>6</v>
      </c>
      <c r="G173" s="1">
        <v>11</v>
      </c>
      <c r="H173" s="1">
        <v>13</v>
      </c>
      <c r="I173" s="1">
        <v>12</v>
      </c>
      <c r="J173" s="1">
        <v>0</v>
      </c>
      <c r="K173" s="1">
        <v>2</v>
      </c>
      <c r="L173" s="1">
        <v>8</v>
      </c>
      <c r="M173" s="1">
        <v>5</v>
      </c>
      <c r="N173" s="1">
        <v>1</v>
      </c>
      <c r="O173" s="3">
        <v>66</v>
      </c>
      <c r="P173" s="1">
        <v>8</v>
      </c>
      <c r="Q173" s="1">
        <v>12</v>
      </c>
      <c r="R173" s="1">
        <v>20</v>
      </c>
      <c r="S173" s="1">
        <v>29</v>
      </c>
      <c r="T173" s="1">
        <v>68</v>
      </c>
      <c r="U173" s="1">
        <v>98</v>
      </c>
      <c r="V173" s="1">
        <v>132</v>
      </c>
      <c r="W173" s="1">
        <v>184</v>
      </c>
      <c r="X173" s="1">
        <v>187</v>
      </c>
      <c r="Y173" s="1">
        <v>239</v>
      </c>
      <c r="Z173" s="1">
        <v>153</v>
      </c>
      <c r="AA173" s="1">
        <v>147</v>
      </c>
      <c r="AB173" s="3">
        <v>1277</v>
      </c>
      <c r="AC173" s="1">
        <v>188</v>
      </c>
      <c r="AD173" s="1">
        <v>219</v>
      </c>
      <c r="AE173" s="1">
        <v>240</v>
      </c>
      <c r="AF173" s="1">
        <v>214</v>
      </c>
      <c r="AG173" s="1">
        <v>386</v>
      </c>
      <c r="AH173" s="1">
        <v>264</v>
      </c>
      <c r="AI173" s="1">
        <v>308</v>
      </c>
      <c r="AJ173" s="1">
        <v>305</v>
      </c>
      <c r="AK173" s="1">
        <v>280</v>
      </c>
      <c r="AL173" s="1">
        <v>335</v>
      </c>
      <c r="AM173" s="1">
        <v>265</v>
      </c>
      <c r="AN173" s="1">
        <v>219</v>
      </c>
      <c r="AO173" s="3">
        <v>3223</v>
      </c>
      <c r="AP173" s="1">
        <v>308</v>
      </c>
      <c r="AQ173" s="1">
        <v>300</v>
      </c>
      <c r="AR173" s="1">
        <v>239</v>
      </c>
      <c r="AS173" s="1">
        <v>253</v>
      </c>
      <c r="AT173" s="1">
        <v>265</v>
      </c>
      <c r="AU173" s="1">
        <v>284</v>
      </c>
      <c r="AV173" s="1">
        <v>275</v>
      </c>
      <c r="AW173" s="1">
        <v>289</v>
      </c>
      <c r="AX173" s="1">
        <v>296</v>
      </c>
      <c r="AY173" s="1">
        <v>310</v>
      </c>
      <c r="AZ173" s="1">
        <v>279</v>
      </c>
      <c r="BA173" s="1">
        <v>242</v>
      </c>
      <c r="BB173" s="3">
        <v>3340</v>
      </c>
      <c r="BC173" s="1">
        <v>218</v>
      </c>
      <c r="BD173" s="1">
        <v>225</v>
      </c>
      <c r="BE173" s="1">
        <v>301</v>
      </c>
      <c r="BF173" s="1">
        <v>302</v>
      </c>
      <c r="BG173" s="1">
        <v>282</v>
      </c>
      <c r="BH173" s="1">
        <v>323</v>
      </c>
      <c r="BI173" s="1">
        <v>333</v>
      </c>
      <c r="BJ173" s="1">
        <v>343</v>
      </c>
      <c r="BK173" s="1">
        <v>380</v>
      </c>
      <c r="BL173" s="1">
        <v>366</v>
      </c>
      <c r="BM173" s="1">
        <v>305</v>
      </c>
      <c r="BN173" s="1">
        <v>281</v>
      </c>
      <c r="BO173" s="3">
        <v>3659</v>
      </c>
      <c r="BP173" s="3">
        <f t="shared" si="3"/>
        <v>11565</v>
      </c>
    </row>
    <row r="174" spans="1:68" x14ac:dyDescent="0.2">
      <c r="A174" s="3">
        <v>126</v>
      </c>
      <c r="B174" t="s">
        <v>181</v>
      </c>
      <c r="C174" s="1">
        <v>2</v>
      </c>
      <c r="D174" s="1">
        <v>2</v>
      </c>
      <c r="E174" s="1">
        <v>2</v>
      </c>
      <c r="F174" s="1">
        <v>11</v>
      </c>
      <c r="G174" s="1">
        <v>7</v>
      </c>
      <c r="H174" s="1">
        <v>8</v>
      </c>
      <c r="I174" s="1">
        <v>4</v>
      </c>
      <c r="J174" s="1">
        <v>2</v>
      </c>
      <c r="K174" s="1">
        <v>3</v>
      </c>
      <c r="L174" s="1">
        <v>5</v>
      </c>
      <c r="M174" s="1">
        <v>7</v>
      </c>
      <c r="N174" s="1">
        <v>3</v>
      </c>
      <c r="O174" s="3">
        <v>56</v>
      </c>
      <c r="P174" s="1">
        <v>5</v>
      </c>
      <c r="Q174" s="1">
        <v>11</v>
      </c>
      <c r="R174" s="1">
        <v>11</v>
      </c>
      <c r="S174" s="1">
        <v>12</v>
      </c>
      <c r="T174" s="1">
        <v>17</v>
      </c>
      <c r="U174" s="1">
        <v>33</v>
      </c>
      <c r="V174" s="1">
        <v>43</v>
      </c>
      <c r="W174" s="1">
        <v>34</v>
      </c>
      <c r="X174" s="1">
        <v>33</v>
      </c>
      <c r="Y174" s="1">
        <v>31</v>
      </c>
      <c r="Z174" s="1">
        <v>39</v>
      </c>
      <c r="AA174" s="1">
        <v>43</v>
      </c>
      <c r="AB174" s="3">
        <v>312</v>
      </c>
      <c r="AC174" s="1">
        <v>44</v>
      </c>
      <c r="AD174" s="1">
        <v>23</v>
      </c>
      <c r="AE174" s="1">
        <v>48</v>
      </c>
      <c r="AF174" s="1">
        <v>39</v>
      </c>
      <c r="AG174" s="1">
        <v>61</v>
      </c>
      <c r="AH174" s="1">
        <v>57</v>
      </c>
      <c r="AI174" s="1">
        <v>85</v>
      </c>
      <c r="AJ174" s="1">
        <v>98</v>
      </c>
      <c r="AK174" s="1">
        <v>112</v>
      </c>
      <c r="AL174" s="1">
        <v>101</v>
      </c>
      <c r="AM174" s="1">
        <v>128</v>
      </c>
      <c r="AN174" s="1">
        <v>94</v>
      </c>
      <c r="AO174" s="3">
        <v>890</v>
      </c>
      <c r="AP174" s="1">
        <v>71</v>
      </c>
      <c r="AQ174" s="1">
        <v>101</v>
      </c>
      <c r="AR174" s="1">
        <v>122</v>
      </c>
      <c r="AS174" s="1">
        <v>109</v>
      </c>
      <c r="AT174" s="1">
        <v>94</v>
      </c>
      <c r="AU174" s="1">
        <v>115</v>
      </c>
      <c r="AV174" s="1">
        <v>107</v>
      </c>
      <c r="AW174" s="1">
        <v>121</v>
      </c>
      <c r="AX174" s="1">
        <v>118</v>
      </c>
      <c r="AY174" s="1">
        <v>122</v>
      </c>
      <c r="AZ174" s="1">
        <v>105</v>
      </c>
      <c r="BA174" s="1">
        <v>109</v>
      </c>
      <c r="BB174" s="3">
        <v>1294</v>
      </c>
      <c r="BC174" s="1">
        <v>115</v>
      </c>
      <c r="BD174" s="1">
        <v>76</v>
      </c>
      <c r="BE174" s="1">
        <v>111</v>
      </c>
      <c r="BF174" s="1">
        <v>109</v>
      </c>
      <c r="BG174" s="1">
        <v>111</v>
      </c>
      <c r="BH174" s="1">
        <v>87</v>
      </c>
      <c r="BI174" s="1">
        <v>105</v>
      </c>
      <c r="BJ174" s="1">
        <v>108</v>
      </c>
      <c r="BK174" s="1">
        <v>127</v>
      </c>
      <c r="BL174" s="1">
        <v>130</v>
      </c>
      <c r="BM174" s="1">
        <v>119</v>
      </c>
      <c r="BN174" s="1">
        <v>111</v>
      </c>
      <c r="BO174" s="3">
        <v>1309</v>
      </c>
      <c r="BP174" s="3">
        <f t="shared" si="3"/>
        <v>3861</v>
      </c>
    </row>
    <row r="175" spans="1:68" x14ac:dyDescent="0.2">
      <c r="A175" s="3">
        <v>127</v>
      </c>
      <c r="B175" t="s">
        <v>182</v>
      </c>
      <c r="C175" s="1">
        <v>2</v>
      </c>
      <c r="D175" s="1">
        <v>1</v>
      </c>
      <c r="E175" s="1">
        <v>0</v>
      </c>
      <c r="F175" s="1">
        <v>1</v>
      </c>
      <c r="G175" s="1">
        <v>0</v>
      </c>
      <c r="H175" s="1">
        <v>0</v>
      </c>
      <c r="I175" s="1">
        <v>1</v>
      </c>
      <c r="J175" s="1">
        <v>1</v>
      </c>
      <c r="K175" s="1">
        <v>0</v>
      </c>
      <c r="L175" s="1">
        <v>2</v>
      </c>
      <c r="M175" s="1">
        <v>3</v>
      </c>
      <c r="N175" s="1">
        <v>5</v>
      </c>
      <c r="O175" s="3">
        <v>16</v>
      </c>
      <c r="P175" s="1">
        <v>2</v>
      </c>
      <c r="Q175" s="1">
        <v>5</v>
      </c>
      <c r="R175" s="1">
        <v>9</v>
      </c>
      <c r="S175" s="1">
        <v>10</v>
      </c>
      <c r="T175" s="1">
        <v>22</v>
      </c>
      <c r="U175" s="1">
        <v>19</v>
      </c>
      <c r="V175" s="1">
        <v>26</v>
      </c>
      <c r="W175" s="1">
        <v>26</v>
      </c>
      <c r="X175" s="1">
        <v>59</v>
      </c>
      <c r="Y175" s="1">
        <v>87</v>
      </c>
      <c r="Z175" s="1">
        <v>75</v>
      </c>
      <c r="AA175" s="1">
        <v>67</v>
      </c>
      <c r="AB175" s="3">
        <v>407</v>
      </c>
      <c r="AC175" s="1">
        <v>93</v>
      </c>
      <c r="AD175" s="1">
        <v>101</v>
      </c>
      <c r="AE175" s="1">
        <v>119</v>
      </c>
      <c r="AF175" s="1">
        <v>144</v>
      </c>
      <c r="AG175" s="1">
        <v>116</v>
      </c>
      <c r="AH175" s="1">
        <v>94</v>
      </c>
      <c r="AI175" s="1">
        <v>98</v>
      </c>
      <c r="AJ175" s="1">
        <v>159</v>
      </c>
      <c r="AK175" s="1">
        <v>155</v>
      </c>
      <c r="AL175" s="1">
        <v>150</v>
      </c>
      <c r="AM175" s="1">
        <v>182</v>
      </c>
      <c r="AN175" s="1">
        <v>145</v>
      </c>
      <c r="AO175" s="3">
        <v>1556</v>
      </c>
      <c r="AP175" s="1">
        <v>129</v>
      </c>
      <c r="AQ175" s="1">
        <v>130</v>
      </c>
      <c r="AR175" s="1">
        <v>138</v>
      </c>
      <c r="AS175" s="1">
        <v>156</v>
      </c>
      <c r="AT175" s="1">
        <v>159</v>
      </c>
      <c r="AU175" s="1">
        <v>114</v>
      </c>
      <c r="AV175" s="1">
        <v>144</v>
      </c>
      <c r="AW175" s="1">
        <v>145</v>
      </c>
      <c r="AX175" s="1">
        <v>147</v>
      </c>
      <c r="AY175" s="1">
        <v>139</v>
      </c>
      <c r="AZ175" s="1">
        <v>143</v>
      </c>
      <c r="BA175" s="1">
        <v>136</v>
      </c>
      <c r="BB175" s="3">
        <v>1680</v>
      </c>
      <c r="BC175" s="1">
        <v>88</v>
      </c>
      <c r="BD175" s="1">
        <v>159</v>
      </c>
      <c r="BE175" s="1">
        <v>146</v>
      </c>
      <c r="BF175" s="1">
        <v>160</v>
      </c>
      <c r="BG175" s="1">
        <v>160</v>
      </c>
      <c r="BH175" s="1">
        <v>133</v>
      </c>
      <c r="BI175" s="1">
        <v>124</v>
      </c>
      <c r="BJ175" s="1">
        <v>140</v>
      </c>
      <c r="BK175" s="1">
        <v>154</v>
      </c>
      <c r="BL175" s="1">
        <v>159</v>
      </c>
      <c r="BM175" s="1">
        <v>167</v>
      </c>
      <c r="BN175" s="1">
        <v>156</v>
      </c>
      <c r="BO175" s="3">
        <v>1746</v>
      </c>
      <c r="BP175" s="3">
        <f t="shared" si="3"/>
        <v>5405</v>
      </c>
    </row>
    <row r="176" spans="1:68" x14ac:dyDescent="0.2">
      <c r="A176" s="3">
        <v>128</v>
      </c>
      <c r="B176" t="s">
        <v>183</v>
      </c>
      <c r="C176" s="1">
        <v>0</v>
      </c>
      <c r="D176" s="1">
        <v>1</v>
      </c>
      <c r="E176" s="1">
        <v>7</v>
      </c>
      <c r="F176" s="1">
        <v>5</v>
      </c>
      <c r="G176" s="1">
        <v>2</v>
      </c>
      <c r="H176" s="1">
        <v>8</v>
      </c>
      <c r="I176" s="1">
        <v>1</v>
      </c>
      <c r="J176" s="1">
        <v>2</v>
      </c>
      <c r="K176" s="1">
        <v>1</v>
      </c>
      <c r="L176" s="1">
        <v>2</v>
      </c>
      <c r="M176" s="1">
        <v>2</v>
      </c>
      <c r="N176" s="1">
        <v>1</v>
      </c>
      <c r="O176" s="3">
        <v>32</v>
      </c>
      <c r="P176" s="1">
        <v>1</v>
      </c>
      <c r="Q176" s="1">
        <v>5</v>
      </c>
      <c r="R176" s="1">
        <v>9</v>
      </c>
      <c r="S176" s="1">
        <v>7</v>
      </c>
      <c r="T176" s="1">
        <v>18</v>
      </c>
      <c r="U176" s="1">
        <v>49</v>
      </c>
      <c r="V176" s="1">
        <v>46</v>
      </c>
      <c r="W176" s="1">
        <v>45</v>
      </c>
      <c r="X176" s="1">
        <v>40</v>
      </c>
      <c r="Y176" s="1">
        <v>36</v>
      </c>
      <c r="Z176" s="1">
        <v>46</v>
      </c>
      <c r="AA176" s="1">
        <v>53</v>
      </c>
      <c r="AB176" s="3">
        <v>355</v>
      </c>
      <c r="AC176" s="1">
        <v>61</v>
      </c>
      <c r="AD176" s="1">
        <v>405</v>
      </c>
      <c r="AE176" s="1">
        <v>370</v>
      </c>
      <c r="AF176" s="1">
        <v>310</v>
      </c>
      <c r="AG176" s="1">
        <v>114</v>
      </c>
      <c r="AH176" s="1">
        <v>119</v>
      </c>
      <c r="AI176" s="1">
        <v>82</v>
      </c>
      <c r="AJ176" s="1">
        <v>83</v>
      </c>
      <c r="AK176" s="1">
        <v>63</v>
      </c>
      <c r="AL176" s="1">
        <v>75</v>
      </c>
      <c r="AM176" s="1">
        <v>64</v>
      </c>
      <c r="AN176" s="1">
        <v>42</v>
      </c>
      <c r="AO176" s="3">
        <v>1788</v>
      </c>
      <c r="AP176" s="1">
        <v>71</v>
      </c>
      <c r="AQ176" s="1">
        <v>73</v>
      </c>
      <c r="AR176" s="1">
        <v>296</v>
      </c>
      <c r="AS176" s="1">
        <v>427</v>
      </c>
      <c r="AT176" s="1">
        <v>116</v>
      </c>
      <c r="AU176" s="1">
        <v>138</v>
      </c>
      <c r="AV176" s="1">
        <v>123</v>
      </c>
      <c r="AW176" s="1">
        <v>99</v>
      </c>
      <c r="AX176" s="1">
        <v>74</v>
      </c>
      <c r="AY176" s="1">
        <v>81</v>
      </c>
      <c r="AZ176" s="1">
        <v>82</v>
      </c>
      <c r="BA176" s="1">
        <v>55</v>
      </c>
      <c r="BB176" s="3">
        <v>1635</v>
      </c>
      <c r="BC176" s="1">
        <v>81</v>
      </c>
      <c r="BD176" s="1">
        <v>93</v>
      </c>
      <c r="BE176" s="1">
        <v>296</v>
      </c>
      <c r="BF176" s="1">
        <v>233</v>
      </c>
      <c r="BG176" s="1">
        <v>141</v>
      </c>
      <c r="BH176" s="1">
        <v>131</v>
      </c>
      <c r="BI176" s="1">
        <v>95</v>
      </c>
      <c r="BJ176" s="1">
        <v>89</v>
      </c>
      <c r="BK176" s="1">
        <v>89</v>
      </c>
      <c r="BL176" s="1">
        <v>98</v>
      </c>
      <c r="BM176" s="1">
        <v>65</v>
      </c>
      <c r="BN176" s="1">
        <v>67</v>
      </c>
      <c r="BO176" s="3">
        <v>1478</v>
      </c>
      <c r="BP176" s="3">
        <f t="shared" si="3"/>
        <v>5288</v>
      </c>
    </row>
    <row r="177" spans="1:68" x14ac:dyDescent="0.2">
      <c r="A177" s="3">
        <v>129</v>
      </c>
      <c r="B177" t="s">
        <v>184</v>
      </c>
      <c r="C177" s="1">
        <v>0</v>
      </c>
      <c r="D177" s="1">
        <v>0</v>
      </c>
      <c r="E177" s="1">
        <v>1</v>
      </c>
      <c r="F177" s="1">
        <v>0</v>
      </c>
      <c r="G177" s="1">
        <v>1</v>
      </c>
      <c r="H177" s="1">
        <v>0</v>
      </c>
      <c r="I177" s="1">
        <v>0</v>
      </c>
      <c r="J177" s="1">
        <v>0</v>
      </c>
      <c r="K177" s="1">
        <v>0</v>
      </c>
      <c r="L177" s="1">
        <v>0</v>
      </c>
      <c r="M177" s="1">
        <v>1</v>
      </c>
      <c r="N177" s="1">
        <v>0</v>
      </c>
      <c r="O177" s="3">
        <v>3</v>
      </c>
      <c r="P177" s="1">
        <v>0</v>
      </c>
      <c r="Q177" s="1">
        <v>1</v>
      </c>
      <c r="R177" s="1">
        <v>1</v>
      </c>
      <c r="S177" s="1">
        <v>4</v>
      </c>
      <c r="T177" s="1">
        <v>1</v>
      </c>
      <c r="U177" s="1">
        <v>10</v>
      </c>
      <c r="V177" s="1">
        <v>2</v>
      </c>
      <c r="W177" s="1">
        <v>10</v>
      </c>
      <c r="X177" s="1">
        <v>6</v>
      </c>
      <c r="Y177" s="1">
        <v>11</v>
      </c>
      <c r="Z177" s="1">
        <v>7</v>
      </c>
      <c r="AA177" s="1">
        <v>8</v>
      </c>
      <c r="AB177" s="3">
        <v>61</v>
      </c>
      <c r="AC177" s="1">
        <v>8</v>
      </c>
      <c r="AD177" s="1">
        <v>10</v>
      </c>
      <c r="AE177" s="1">
        <v>7</v>
      </c>
      <c r="AF177" s="1">
        <v>20</v>
      </c>
      <c r="AG177" s="1">
        <v>12</v>
      </c>
      <c r="AH177" s="1">
        <v>7</v>
      </c>
      <c r="AI177" s="1">
        <v>9</v>
      </c>
      <c r="AJ177" s="1">
        <v>23</v>
      </c>
      <c r="AK177" s="1">
        <v>15</v>
      </c>
      <c r="AL177" s="1">
        <v>16</v>
      </c>
      <c r="AM177" s="1">
        <v>20</v>
      </c>
      <c r="AN177" s="1">
        <v>9</v>
      </c>
      <c r="AO177" s="3">
        <v>156</v>
      </c>
      <c r="AP177" s="1">
        <v>9</v>
      </c>
      <c r="AQ177" s="1">
        <v>7</v>
      </c>
      <c r="AR177" s="1">
        <v>6</v>
      </c>
      <c r="AS177" s="1">
        <v>9</v>
      </c>
      <c r="AT177" s="1">
        <v>7</v>
      </c>
      <c r="AU177" s="1">
        <v>27</v>
      </c>
      <c r="AV177" s="1">
        <v>15</v>
      </c>
      <c r="AW177" s="1">
        <v>18</v>
      </c>
      <c r="AX177" s="1">
        <v>9</v>
      </c>
      <c r="AY177" s="1">
        <v>8</v>
      </c>
      <c r="AZ177" s="1">
        <v>40</v>
      </c>
      <c r="BA177" s="1">
        <v>10</v>
      </c>
      <c r="BB177" s="3">
        <v>165</v>
      </c>
      <c r="BC177" s="1">
        <v>15</v>
      </c>
      <c r="BD177" s="1">
        <v>16</v>
      </c>
      <c r="BE177" s="1">
        <v>7</v>
      </c>
      <c r="BF177" s="1">
        <v>17</v>
      </c>
      <c r="BG177" s="1">
        <v>18</v>
      </c>
      <c r="BH177" s="1">
        <v>48</v>
      </c>
      <c r="BI177" s="1">
        <v>14</v>
      </c>
      <c r="BJ177" s="1">
        <v>35</v>
      </c>
      <c r="BK177" s="1">
        <v>20</v>
      </c>
      <c r="BL177" s="1">
        <v>20</v>
      </c>
      <c r="BM177" s="1">
        <v>19</v>
      </c>
      <c r="BN177" s="1">
        <v>12</v>
      </c>
      <c r="BO177" s="3">
        <v>241</v>
      </c>
      <c r="BP177" s="3">
        <f t="shared" si="3"/>
        <v>626</v>
      </c>
    </row>
    <row r="178" spans="1:68" x14ac:dyDescent="0.2">
      <c r="A178" s="3">
        <v>130</v>
      </c>
      <c r="B178" t="s">
        <v>185</v>
      </c>
      <c r="C178" s="1">
        <v>1</v>
      </c>
      <c r="D178" s="1">
        <v>1</v>
      </c>
      <c r="E178" s="1">
        <v>0</v>
      </c>
      <c r="F178" s="1">
        <v>0</v>
      </c>
      <c r="G178" s="1">
        <v>0</v>
      </c>
      <c r="H178" s="1">
        <v>1</v>
      </c>
      <c r="I178" s="1">
        <v>2</v>
      </c>
      <c r="J178" s="1">
        <v>0</v>
      </c>
      <c r="K178" s="1">
        <v>0</v>
      </c>
      <c r="L178" s="1">
        <v>0</v>
      </c>
      <c r="M178" s="1">
        <v>4</v>
      </c>
      <c r="N178" s="1">
        <v>0</v>
      </c>
      <c r="O178" s="3">
        <v>9</v>
      </c>
      <c r="P178" s="1">
        <v>2</v>
      </c>
      <c r="Q178" s="1">
        <v>0</v>
      </c>
      <c r="R178" s="1">
        <v>4</v>
      </c>
      <c r="S178" s="1">
        <v>2</v>
      </c>
      <c r="T178" s="1">
        <v>4</v>
      </c>
      <c r="U178" s="1">
        <v>17</v>
      </c>
      <c r="V178" s="1">
        <v>9</v>
      </c>
      <c r="W178" s="1">
        <v>14</v>
      </c>
      <c r="X178" s="1">
        <v>12</v>
      </c>
      <c r="Y178" s="1">
        <v>16</v>
      </c>
      <c r="Z178" s="1">
        <v>10</v>
      </c>
      <c r="AA178" s="1">
        <v>12</v>
      </c>
      <c r="AB178" s="3">
        <v>102</v>
      </c>
      <c r="AC178" s="1">
        <v>7</v>
      </c>
      <c r="AD178" s="1">
        <v>14</v>
      </c>
      <c r="AE178" s="1">
        <v>38</v>
      </c>
      <c r="AF178" s="1">
        <v>15</v>
      </c>
      <c r="AG178" s="1">
        <v>22</v>
      </c>
      <c r="AH178" s="1">
        <v>10</v>
      </c>
      <c r="AI178" s="1">
        <v>13</v>
      </c>
      <c r="AJ178" s="1">
        <v>21</v>
      </c>
      <c r="AK178" s="1">
        <v>18</v>
      </c>
      <c r="AL178" s="1">
        <v>19</v>
      </c>
      <c r="AM178" s="1">
        <v>14</v>
      </c>
      <c r="AN178" s="1">
        <v>7</v>
      </c>
      <c r="AO178" s="3">
        <v>198</v>
      </c>
      <c r="AP178" s="1">
        <v>16</v>
      </c>
      <c r="AQ178" s="1">
        <v>15</v>
      </c>
      <c r="AR178" s="1">
        <v>15</v>
      </c>
      <c r="AS178" s="1">
        <v>10</v>
      </c>
      <c r="AT178" s="1">
        <v>38</v>
      </c>
      <c r="AU178" s="1">
        <v>17</v>
      </c>
      <c r="AV178" s="1">
        <v>24</v>
      </c>
      <c r="AW178" s="1">
        <v>15</v>
      </c>
      <c r="AX178" s="1">
        <v>24</v>
      </c>
      <c r="AY178" s="1">
        <v>14</v>
      </c>
      <c r="AZ178" s="1">
        <v>33</v>
      </c>
      <c r="BA178" s="1">
        <v>29</v>
      </c>
      <c r="BB178" s="3">
        <v>250</v>
      </c>
      <c r="BC178" s="1">
        <v>18</v>
      </c>
      <c r="BD178" s="1">
        <v>15</v>
      </c>
      <c r="BE178" s="1">
        <v>20</v>
      </c>
      <c r="BF178" s="1">
        <v>19</v>
      </c>
      <c r="BG178" s="1">
        <v>30</v>
      </c>
      <c r="BH178" s="1">
        <v>25</v>
      </c>
      <c r="BI178" s="1">
        <v>26</v>
      </c>
      <c r="BJ178" s="1">
        <v>19</v>
      </c>
      <c r="BK178" s="1">
        <v>27</v>
      </c>
      <c r="BL178" s="1">
        <v>21</v>
      </c>
      <c r="BM178" s="1">
        <v>26</v>
      </c>
      <c r="BN178" s="1">
        <v>22</v>
      </c>
      <c r="BO178" s="3">
        <v>268</v>
      </c>
      <c r="BP178" s="3">
        <f t="shared" si="3"/>
        <v>827</v>
      </c>
    </row>
    <row r="179" spans="1:68" x14ac:dyDescent="0.2">
      <c r="A179" s="3">
        <v>131</v>
      </c>
      <c r="B179" t="s">
        <v>186</v>
      </c>
      <c r="C179" s="1">
        <v>0</v>
      </c>
      <c r="D179" s="1">
        <v>1</v>
      </c>
      <c r="E179" s="1">
        <v>0</v>
      </c>
      <c r="F179" s="1">
        <v>0</v>
      </c>
      <c r="G179" s="1">
        <v>1</v>
      </c>
      <c r="H179" s="1">
        <v>1</v>
      </c>
      <c r="I179" s="1">
        <v>2</v>
      </c>
      <c r="J179" s="1">
        <v>2</v>
      </c>
      <c r="K179" s="1">
        <v>1</v>
      </c>
      <c r="L179" s="1">
        <v>3</v>
      </c>
      <c r="M179" s="1">
        <v>2</v>
      </c>
      <c r="N179" s="1">
        <v>0</v>
      </c>
      <c r="O179" s="3">
        <v>13</v>
      </c>
      <c r="P179" s="1">
        <v>1</v>
      </c>
      <c r="Q179" s="1">
        <v>1</v>
      </c>
      <c r="R179" s="1">
        <v>11</v>
      </c>
      <c r="S179" s="1">
        <v>2</v>
      </c>
      <c r="T179" s="1">
        <v>1</v>
      </c>
      <c r="U179" s="1">
        <v>5</v>
      </c>
      <c r="V179" s="1">
        <v>5</v>
      </c>
      <c r="W179" s="1">
        <v>10</v>
      </c>
      <c r="X179" s="1">
        <v>1</v>
      </c>
      <c r="Y179" s="1">
        <v>119</v>
      </c>
      <c r="Z179" s="1">
        <v>14</v>
      </c>
      <c r="AA179" s="1">
        <v>13</v>
      </c>
      <c r="AB179" s="3">
        <v>183</v>
      </c>
      <c r="AC179" s="1">
        <v>11</v>
      </c>
      <c r="AD179" s="1">
        <v>11</v>
      </c>
      <c r="AE179" s="1">
        <v>18</v>
      </c>
      <c r="AF179" s="1">
        <v>29</v>
      </c>
      <c r="AG179" s="1">
        <v>48</v>
      </c>
      <c r="AH179" s="1">
        <v>38</v>
      </c>
      <c r="AI179" s="1">
        <v>24</v>
      </c>
      <c r="AJ179" s="1">
        <v>24</v>
      </c>
      <c r="AK179" s="1">
        <v>94</v>
      </c>
      <c r="AL179" s="1">
        <v>27</v>
      </c>
      <c r="AM179" s="1">
        <v>8</v>
      </c>
      <c r="AN179" s="1">
        <v>23</v>
      </c>
      <c r="AO179" s="3">
        <v>355</v>
      </c>
      <c r="AP179" s="1">
        <v>11</v>
      </c>
      <c r="AQ179" s="1">
        <v>10</v>
      </c>
      <c r="AR179" s="1">
        <v>12</v>
      </c>
      <c r="AS179" s="1">
        <v>9</v>
      </c>
      <c r="AT179" s="1">
        <v>43</v>
      </c>
      <c r="AU179" s="1">
        <v>32</v>
      </c>
      <c r="AV179" s="1">
        <v>34</v>
      </c>
      <c r="AW179" s="1">
        <v>21</v>
      </c>
      <c r="AX179" s="1">
        <v>78</v>
      </c>
      <c r="AY179" s="1">
        <v>31</v>
      </c>
      <c r="AZ179" s="1">
        <v>26</v>
      </c>
      <c r="BA179" s="1">
        <v>5</v>
      </c>
      <c r="BB179" s="3">
        <v>312</v>
      </c>
      <c r="BC179" s="1">
        <v>9</v>
      </c>
      <c r="BD179" s="1">
        <v>7</v>
      </c>
      <c r="BE179" s="1">
        <v>12</v>
      </c>
      <c r="BF179" s="1">
        <v>26</v>
      </c>
      <c r="BG179" s="1">
        <v>35</v>
      </c>
      <c r="BH179" s="1">
        <v>69</v>
      </c>
      <c r="BI179" s="1">
        <v>56</v>
      </c>
      <c r="BJ179" s="1">
        <v>69</v>
      </c>
      <c r="BK179" s="1">
        <v>58</v>
      </c>
      <c r="BL179" s="1">
        <v>33</v>
      </c>
      <c r="BM179" s="1">
        <v>20</v>
      </c>
      <c r="BN179" s="1">
        <v>17</v>
      </c>
      <c r="BO179" s="3">
        <v>411</v>
      </c>
      <c r="BP179" s="3">
        <f t="shared" si="3"/>
        <v>1274</v>
      </c>
    </row>
    <row r="180" spans="1:68" x14ac:dyDescent="0.2">
      <c r="A180" s="3">
        <v>132</v>
      </c>
      <c r="B180" t="s">
        <v>187</v>
      </c>
      <c r="C180" s="1">
        <v>0</v>
      </c>
      <c r="D180" s="1">
        <v>0</v>
      </c>
      <c r="E180" s="1">
        <v>0</v>
      </c>
      <c r="F180" s="1">
        <v>1</v>
      </c>
      <c r="G180" s="1">
        <v>0</v>
      </c>
      <c r="H180" s="1">
        <v>1</v>
      </c>
      <c r="I180" s="1">
        <v>0</v>
      </c>
      <c r="J180" s="1">
        <v>0</v>
      </c>
      <c r="K180" s="1">
        <v>0</v>
      </c>
      <c r="L180" s="1">
        <v>0</v>
      </c>
      <c r="M180" s="1">
        <v>0</v>
      </c>
      <c r="N180" s="1">
        <v>0</v>
      </c>
      <c r="O180" s="3">
        <v>2</v>
      </c>
      <c r="P180" s="1">
        <v>0</v>
      </c>
      <c r="Q180" s="1">
        <v>0</v>
      </c>
      <c r="R180" s="1">
        <v>10</v>
      </c>
      <c r="S180" s="1">
        <v>0</v>
      </c>
      <c r="T180" s="1">
        <v>1</v>
      </c>
      <c r="U180" s="1">
        <v>1</v>
      </c>
      <c r="V180" s="1">
        <v>7</v>
      </c>
      <c r="W180" s="1">
        <v>1</v>
      </c>
      <c r="X180" s="1">
        <v>8</v>
      </c>
      <c r="Y180" s="1">
        <v>1</v>
      </c>
      <c r="Z180" s="1">
        <v>1</v>
      </c>
      <c r="AA180" s="1">
        <v>1</v>
      </c>
      <c r="AB180" s="3">
        <v>31</v>
      </c>
      <c r="AC180" s="1">
        <v>2</v>
      </c>
      <c r="AD180" s="1">
        <v>4</v>
      </c>
      <c r="AE180" s="1">
        <v>2</v>
      </c>
      <c r="AF180" s="1">
        <v>0</v>
      </c>
      <c r="AG180" s="1">
        <v>3</v>
      </c>
      <c r="AH180" s="1">
        <v>2</v>
      </c>
      <c r="AI180" s="1">
        <v>7</v>
      </c>
      <c r="AJ180" s="1">
        <v>6</v>
      </c>
      <c r="AK180" s="1">
        <v>6</v>
      </c>
      <c r="AL180" s="1">
        <v>7</v>
      </c>
      <c r="AM180" s="1">
        <v>6</v>
      </c>
      <c r="AN180" s="1">
        <v>1</v>
      </c>
      <c r="AO180" s="3">
        <v>46</v>
      </c>
      <c r="AP180" s="1">
        <v>5</v>
      </c>
      <c r="AQ180" s="1">
        <v>2</v>
      </c>
      <c r="AR180" s="1">
        <v>2</v>
      </c>
      <c r="AS180" s="1">
        <v>3</v>
      </c>
      <c r="AT180" s="1">
        <v>9</v>
      </c>
      <c r="AU180" s="1">
        <v>2</v>
      </c>
      <c r="AV180" s="1">
        <v>5</v>
      </c>
      <c r="AW180" s="1">
        <v>4</v>
      </c>
      <c r="AX180" s="1">
        <v>13</v>
      </c>
      <c r="AY180" s="1">
        <v>7</v>
      </c>
      <c r="AZ180" s="1">
        <v>3</v>
      </c>
      <c r="BA180" s="1">
        <v>2</v>
      </c>
      <c r="BB180" s="3">
        <v>57</v>
      </c>
      <c r="BC180" s="1">
        <v>0</v>
      </c>
      <c r="BD180" s="1">
        <v>0</v>
      </c>
      <c r="BE180" s="1">
        <v>3</v>
      </c>
      <c r="BF180" s="1">
        <v>3</v>
      </c>
      <c r="BG180" s="1">
        <v>4</v>
      </c>
      <c r="BH180" s="1">
        <v>9</v>
      </c>
      <c r="BI180" s="1">
        <v>12</v>
      </c>
      <c r="BJ180" s="1">
        <v>16</v>
      </c>
      <c r="BK180" s="1">
        <v>4</v>
      </c>
      <c r="BL180" s="1">
        <v>6</v>
      </c>
      <c r="BM180" s="1">
        <v>8</v>
      </c>
      <c r="BN180" s="1">
        <v>8</v>
      </c>
      <c r="BO180" s="3">
        <v>73</v>
      </c>
      <c r="BP180" s="3">
        <f t="shared" si="3"/>
        <v>209</v>
      </c>
    </row>
    <row r="181" spans="1:68" x14ac:dyDescent="0.2">
      <c r="A181" s="3">
        <v>133</v>
      </c>
      <c r="B181" t="s">
        <v>188</v>
      </c>
      <c r="C181" s="1">
        <v>0</v>
      </c>
      <c r="D181" s="1">
        <v>0</v>
      </c>
      <c r="E181" s="1">
        <v>0</v>
      </c>
      <c r="F181" s="1">
        <v>0</v>
      </c>
      <c r="G181" s="1">
        <v>0</v>
      </c>
      <c r="H181" s="1">
        <v>0</v>
      </c>
      <c r="I181" s="1">
        <v>0</v>
      </c>
      <c r="J181" s="1">
        <v>0</v>
      </c>
      <c r="K181" s="1">
        <v>0</v>
      </c>
      <c r="L181" s="1">
        <v>0</v>
      </c>
      <c r="M181" s="1">
        <v>0</v>
      </c>
      <c r="N181" s="1">
        <v>0</v>
      </c>
      <c r="O181" s="3">
        <v>0</v>
      </c>
      <c r="P181" s="1">
        <v>0</v>
      </c>
      <c r="Q181" s="1">
        <v>0</v>
      </c>
      <c r="R181" s="1">
        <v>0</v>
      </c>
      <c r="S181" s="1">
        <v>0</v>
      </c>
      <c r="T181" s="1">
        <v>0</v>
      </c>
      <c r="U181" s="1">
        <v>0</v>
      </c>
      <c r="V181" s="1">
        <v>0</v>
      </c>
      <c r="W181" s="1">
        <v>0</v>
      </c>
      <c r="X181" s="1">
        <v>0</v>
      </c>
      <c r="Y181" s="1">
        <v>1</v>
      </c>
      <c r="Z181" s="1">
        <v>0</v>
      </c>
      <c r="AA181" s="1">
        <v>0</v>
      </c>
      <c r="AB181" s="3">
        <v>1</v>
      </c>
      <c r="AC181" s="1">
        <v>0</v>
      </c>
      <c r="AD181" s="1">
        <v>0</v>
      </c>
      <c r="AE181" s="1">
        <v>0</v>
      </c>
      <c r="AF181" s="1">
        <v>0</v>
      </c>
      <c r="AG181" s="1">
        <v>0</v>
      </c>
      <c r="AH181" s="1">
        <v>0</v>
      </c>
      <c r="AI181" s="1">
        <v>0</v>
      </c>
      <c r="AJ181" s="1">
        <v>0</v>
      </c>
      <c r="AK181" s="1">
        <v>0</v>
      </c>
      <c r="AL181" s="1">
        <v>0</v>
      </c>
      <c r="AM181" s="1">
        <v>0</v>
      </c>
      <c r="AN181" s="1">
        <v>0</v>
      </c>
      <c r="AO181" s="3">
        <v>0</v>
      </c>
      <c r="AP181" s="1">
        <v>0</v>
      </c>
      <c r="AQ181" s="1">
        <v>0</v>
      </c>
      <c r="AR181" s="1">
        <v>0</v>
      </c>
      <c r="AS181" s="1">
        <v>0</v>
      </c>
      <c r="AT181" s="1">
        <v>0</v>
      </c>
      <c r="AU181" s="1">
        <v>0</v>
      </c>
      <c r="AV181" s="1">
        <v>0</v>
      </c>
      <c r="AW181" s="1">
        <v>0</v>
      </c>
      <c r="AX181" s="1">
        <v>0</v>
      </c>
      <c r="AY181" s="1">
        <v>0</v>
      </c>
      <c r="AZ181" s="1">
        <v>0</v>
      </c>
      <c r="BA181" s="1">
        <v>0</v>
      </c>
      <c r="BB181" s="3">
        <v>0</v>
      </c>
      <c r="BC181" s="1">
        <v>0</v>
      </c>
      <c r="BD181" s="1">
        <v>0</v>
      </c>
      <c r="BE181" s="1">
        <v>0</v>
      </c>
      <c r="BF181" s="1">
        <v>0</v>
      </c>
      <c r="BG181" s="1">
        <v>0</v>
      </c>
      <c r="BH181" s="1">
        <v>0</v>
      </c>
      <c r="BI181" s="1">
        <v>0</v>
      </c>
      <c r="BJ181" s="1">
        <v>0</v>
      </c>
      <c r="BK181" s="1">
        <v>0</v>
      </c>
      <c r="BL181" s="1">
        <v>0</v>
      </c>
      <c r="BM181" s="1">
        <v>0</v>
      </c>
      <c r="BN181" s="1">
        <v>0</v>
      </c>
      <c r="BO181" s="3">
        <v>0</v>
      </c>
      <c r="BP181" s="3">
        <f t="shared" si="3"/>
        <v>1</v>
      </c>
    </row>
    <row r="182" spans="1:68" x14ac:dyDescent="0.2">
      <c r="A182" s="3">
        <v>134</v>
      </c>
      <c r="B182" t="s">
        <v>189</v>
      </c>
      <c r="C182" s="1">
        <v>0</v>
      </c>
      <c r="D182" s="1">
        <v>0</v>
      </c>
      <c r="E182" s="1">
        <v>0</v>
      </c>
      <c r="F182" s="1">
        <v>0</v>
      </c>
      <c r="G182" s="1">
        <v>0</v>
      </c>
      <c r="H182" s="1">
        <v>0</v>
      </c>
      <c r="I182" s="1">
        <v>0</v>
      </c>
      <c r="J182" s="1">
        <v>0</v>
      </c>
      <c r="K182" s="1">
        <v>0</v>
      </c>
      <c r="L182" s="1">
        <v>0</v>
      </c>
      <c r="M182" s="1">
        <v>0</v>
      </c>
      <c r="N182" s="1">
        <v>0</v>
      </c>
      <c r="O182" s="3">
        <v>0</v>
      </c>
      <c r="P182" s="1">
        <v>0</v>
      </c>
      <c r="Q182" s="1">
        <v>0</v>
      </c>
      <c r="R182" s="1">
        <v>0</v>
      </c>
      <c r="S182" s="1">
        <v>0</v>
      </c>
      <c r="T182" s="1">
        <v>0</v>
      </c>
      <c r="U182" s="1">
        <v>0</v>
      </c>
      <c r="V182" s="1">
        <v>0</v>
      </c>
      <c r="W182" s="1">
        <v>0</v>
      </c>
      <c r="X182" s="1">
        <v>0</v>
      </c>
      <c r="Y182" s="1">
        <v>0</v>
      </c>
      <c r="Z182" s="1">
        <v>0</v>
      </c>
      <c r="AA182" s="1">
        <v>0</v>
      </c>
      <c r="AB182" s="3">
        <v>0</v>
      </c>
      <c r="AC182" s="1">
        <v>0</v>
      </c>
      <c r="AD182" s="1">
        <v>0</v>
      </c>
      <c r="AE182" s="1">
        <v>0</v>
      </c>
      <c r="AF182" s="1">
        <v>0</v>
      </c>
      <c r="AG182" s="1">
        <v>0</v>
      </c>
      <c r="AH182" s="1">
        <v>0</v>
      </c>
      <c r="AI182" s="1">
        <v>0</v>
      </c>
      <c r="AJ182" s="1">
        <v>0</v>
      </c>
      <c r="AK182" s="1">
        <v>0</v>
      </c>
      <c r="AL182" s="1">
        <v>0</v>
      </c>
      <c r="AM182" s="1">
        <v>0</v>
      </c>
      <c r="AN182" s="1">
        <v>0</v>
      </c>
      <c r="AO182" s="3">
        <v>0</v>
      </c>
      <c r="AP182" s="1">
        <v>0</v>
      </c>
      <c r="AQ182" s="1">
        <v>0</v>
      </c>
      <c r="AR182" s="1">
        <v>0</v>
      </c>
      <c r="AS182" s="1">
        <v>0</v>
      </c>
      <c r="AT182" s="1">
        <v>0</v>
      </c>
      <c r="AU182" s="1">
        <v>0</v>
      </c>
      <c r="AV182" s="1">
        <v>0</v>
      </c>
      <c r="AW182" s="1">
        <v>0</v>
      </c>
      <c r="AX182" s="1">
        <v>0</v>
      </c>
      <c r="AY182" s="1">
        <v>0</v>
      </c>
      <c r="AZ182" s="1">
        <v>0</v>
      </c>
      <c r="BA182" s="1">
        <v>0</v>
      </c>
      <c r="BB182" s="3">
        <v>0</v>
      </c>
      <c r="BC182" s="1">
        <v>0</v>
      </c>
      <c r="BD182" s="1">
        <v>0</v>
      </c>
      <c r="BE182" s="1">
        <v>0</v>
      </c>
      <c r="BF182" s="1">
        <v>0</v>
      </c>
      <c r="BG182" s="1">
        <v>0</v>
      </c>
      <c r="BH182" s="1">
        <v>0</v>
      </c>
      <c r="BI182" s="1">
        <v>0</v>
      </c>
      <c r="BJ182" s="1">
        <v>0</v>
      </c>
      <c r="BK182" s="1">
        <v>0</v>
      </c>
      <c r="BL182" s="1">
        <v>0</v>
      </c>
      <c r="BM182" s="1">
        <v>0</v>
      </c>
      <c r="BN182" s="1">
        <v>0</v>
      </c>
      <c r="BO182" s="3">
        <v>0</v>
      </c>
      <c r="BP182" s="3">
        <f t="shared" si="3"/>
        <v>0</v>
      </c>
    </row>
    <row r="183" spans="1:68" x14ac:dyDescent="0.2">
      <c r="A183" s="3">
        <v>135</v>
      </c>
      <c r="B183" t="s">
        <v>190</v>
      </c>
      <c r="C183" s="1">
        <v>22</v>
      </c>
      <c r="D183" s="1">
        <v>17</v>
      </c>
      <c r="E183" s="1">
        <v>12</v>
      </c>
      <c r="F183" s="1">
        <v>13</v>
      </c>
      <c r="G183" s="1">
        <v>11</v>
      </c>
      <c r="H183" s="1">
        <v>13</v>
      </c>
      <c r="I183" s="1">
        <v>11</v>
      </c>
      <c r="J183" s="1">
        <v>4</v>
      </c>
      <c r="K183" s="1">
        <v>22</v>
      </c>
      <c r="L183" s="1">
        <v>30</v>
      </c>
      <c r="M183" s="1">
        <v>22</v>
      </c>
      <c r="N183" s="1">
        <v>20</v>
      </c>
      <c r="O183" s="3">
        <v>197</v>
      </c>
      <c r="P183" s="1">
        <v>37</v>
      </c>
      <c r="Q183" s="1">
        <v>25</v>
      </c>
      <c r="R183" s="1">
        <v>90</v>
      </c>
      <c r="S183" s="1">
        <v>104</v>
      </c>
      <c r="T183" s="1">
        <v>332</v>
      </c>
      <c r="U183" s="1">
        <v>152</v>
      </c>
      <c r="V183" s="1">
        <v>164</v>
      </c>
      <c r="W183" s="1">
        <v>163</v>
      </c>
      <c r="X183" s="1">
        <v>206</v>
      </c>
      <c r="Y183" s="1">
        <v>314</v>
      </c>
      <c r="Z183" s="1">
        <v>244</v>
      </c>
      <c r="AA183" s="1">
        <v>215</v>
      </c>
      <c r="AB183" s="3">
        <v>2046</v>
      </c>
      <c r="AC183" s="1">
        <v>208</v>
      </c>
      <c r="AD183" s="1">
        <v>124</v>
      </c>
      <c r="AE183" s="1">
        <v>246</v>
      </c>
      <c r="AF183" s="1">
        <v>182</v>
      </c>
      <c r="AG183" s="1">
        <v>206</v>
      </c>
      <c r="AH183" s="1">
        <v>261</v>
      </c>
      <c r="AI183" s="1">
        <v>289</v>
      </c>
      <c r="AJ183" s="1">
        <v>253</v>
      </c>
      <c r="AK183" s="1">
        <v>318</v>
      </c>
      <c r="AL183" s="1">
        <v>304</v>
      </c>
      <c r="AM183" s="1">
        <v>252</v>
      </c>
      <c r="AN183" s="1">
        <v>224</v>
      </c>
      <c r="AO183" s="3">
        <v>2867</v>
      </c>
      <c r="AP183" s="1">
        <v>172</v>
      </c>
      <c r="AQ183" s="1">
        <v>186</v>
      </c>
      <c r="AR183" s="1">
        <v>287</v>
      </c>
      <c r="AS183" s="1">
        <v>280</v>
      </c>
      <c r="AT183" s="1">
        <v>381</v>
      </c>
      <c r="AU183" s="1">
        <v>243</v>
      </c>
      <c r="AV183" s="1">
        <v>314</v>
      </c>
      <c r="AW183" s="1">
        <v>342</v>
      </c>
      <c r="AX183" s="1">
        <v>336</v>
      </c>
      <c r="AY183" s="1">
        <v>370</v>
      </c>
      <c r="AZ183" s="1">
        <v>412</v>
      </c>
      <c r="BA183" s="1">
        <v>261</v>
      </c>
      <c r="BB183" s="3">
        <v>3584</v>
      </c>
      <c r="BC183" s="1">
        <v>273</v>
      </c>
      <c r="BD183" s="1">
        <v>237</v>
      </c>
      <c r="BE183" s="1">
        <v>249</v>
      </c>
      <c r="BF183" s="1">
        <v>275</v>
      </c>
      <c r="BG183" s="1">
        <v>328</v>
      </c>
      <c r="BH183" s="1">
        <v>344</v>
      </c>
      <c r="BI183" s="1">
        <v>372</v>
      </c>
      <c r="BJ183" s="1">
        <v>357</v>
      </c>
      <c r="BK183" s="1">
        <v>308</v>
      </c>
      <c r="BL183" s="1">
        <v>309</v>
      </c>
      <c r="BM183" s="1">
        <v>312</v>
      </c>
      <c r="BN183" s="1">
        <v>291</v>
      </c>
      <c r="BO183" s="3">
        <v>3655</v>
      </c>
      <c r="BP183" s="3">
        <f t="shared" si="3"/>
        <v>12349</v>
      </c>
    </row>
    <row r="184" spans="1:68" x14ac:dyDescent="0.2">
      <c r="A184" s="3">
        <v>136</v>
      </c>
      <c r="B184" t="s">
        <v>191</v>
      </c>
      <c r="C184" s="1">
        <v>17</v>
      </c>
      <c r="D184" s="1">
        <v>10</v>
      </c>
      <c r="E184" s="1">
        <v>7</v>
      </c>
      <c r="F184" s="1">
        <v>5</v>
      </c>
      <c r="G184" s="1">
        <v>7</v>
      </c>
      <c r="H184" s="1">
        <v>2</v>
      </c>
      <c r="I184" s="1">
        <v>8</v>
      </c>
      <c r="J184" s="1">
        <v>4</v>
      </c>
      <c r="K184" s="1">
        <v>20</v>
      </c>
      <c r="L184" s="1">
        <v>21</v>
      </c>
      <c r="M184" s="1">
        <v>13</v>
      </c>
      <c r="N184" s="1">
        <v>13</v>
      </c>
      <c r="O184" s="3">
        <v>127</v>
      </c>
      <c r="P184" s="1">
        <v>32</v>
      </c>
      <c r="Q184" s="1">
        <v>19</v>
      </c>
      <c r="R184" s="1">
        <v>71</v>
      </c>
      <c r="S184" s="1">
        <v>53</v>
      </c>
      <c r="T184" s="1">
        <v>255</v>
      </c>
      <c r="U184" s="1">
        <v>91</v>
      </c>
      <c r="V184" s="1">
        <v>95</v>
      </c>
      <c r="W184" s="1">
        <v>73</v>
      </c>
      <c r="X184" s="1">
        <v>126</v>
      </c>
      <c r="Y184" s="1">
        <v>145</v>
      </c>
      <c r="Z184" s="1">
        <v>139</v>
      </c>
      <c r="AA184" s="1">
        <v>70</v>
      </c>
      <c r="AB184" s="3">
        <v>1169</v>
      </c>
      <c r="AC184" s="1">
        <v>106</v>
      </c>
      <c r="AD184" s="1">
        <v>59</v>
      </c>
      <c r="AE184" s="1">
        <v>125</v>
      </c>
      <c r="AF184" s="1">
        <v>66</v>
      </c>
      <c r="AG184" s="1">
        <v>92</v>
      </c>
      <c r="AH184" s="1">
        <v>111</v>
      </c>
      <c r="AI184" s="1">
        <v>74</v>
      </c>
      <c r="AJ184" s="1">
        <v>91</v>
      </c>
      <c r="AK184" s="1">
        <v>119</v>
      </c>
      <c r="AL184" s="1">
        <v>115</v>
      </c>
      <c r="AM184" s="1">
        <v>120</v>
      </c>
      <c r="AN184" s="1">
        <v>67</v>
      </c>
      <c r="AO184" s="3">
        <v>1145</v>
      </c>
      <c r="AP184" s="1">
        <v>60</v>
      </c>
      <c r="AQ184" s="1">
        <v>70</v>
      </c>
      <c r="AR184" s="1">
        <v>112</v>
      </c>
      <c r="AS184" s="1">
        <v>75</v>
      </c>
      <c r="AT184" s="1">
        <v>147</v>
      </c>
      <c r="AU184" s="1">
        <v>85</v>
      </c>
      <c r="AV184" s="1">
        <v>76</v>
      </c>
      <c r="AW184" s="1">
        <v>112</v>
      </c>
      <c r="AX184" s="1">
        <v>92</v>
      </c>
      <c r="AY184" s="1">
        <v>115</v>
      </c>
      <c r="AZ184" s="1">
        <v>151</v>
      </c>
      <c r="BA184" s="1">
        <v>86</v>
      </c>
      <c r="BB184" s="3">
        <v>1181</v>
      </c>
      <c r="BC184" s="1">
        <v>107</v>
      </c>
      <c r="BD184" s="1">
        <v>104</v>
      </c>
      <c r="BE184" s="1">
        <v>65</v>
      </c>
      <c r="BF184" s="1">
        <v>83</v>
      </c>
      <c r="BG184" s="1">
        <v>106</v>
      </c>
      <c r="BH184" s="1">
        <v>107</v>
      </c>
      <c r="BI184" s="1">
        <v>64</v>
      </c>
      <c r="BJ184" s="1">
        <v>85</v>
      </c>
      <c r="BK184" s="1">
        <v>77</v>
      </c>
      <c r="BL184" s="1">
        <v>108</v>
      </c>
      <c r="BM184" s="1">
        <v>118</v>
      </c>
      <c r="BN184" s="1">
        <v>59</v>
      </c>
      <c r="BO184" s="3">
        <v>1083</v>
      </c>
      <c r="BP184" s="3">
        <f t="shared" si="3"/>
        <v>4705</v>
      </c>
    </row>
    <row r="185" spans="1:68" x14ac:dyDescent="0.2">
      <c r="A185" s="3">
        <v>137</v>
      </c>
      <c r="B185" t="s">
        <v>192</v>
      </c>
      <c r="C185" s="1">
        <v>4</v>
      </c>
      <c r="D185" s="1">
        <v>1</v>
      </c>
      <c r="E185" s="1">
        <v>3</v>
      </c>
      <c r="F185" s="1">
        <v>2</v>
      </c>
      <c r="G185" s="1">
        <v>0</v>
      </c>
      <c r="H185" s="1">
        <v>2</v>
      </c>
      <c r="I185" s="1">
        <v>0</v>
      </c>
      <c r="J185" s="1">
        <v>0</v>
      </c>
      <c r="K185" s="1">
        <v>1</v>
      </c>
      <c r="L185" s="1">
        <v>2</v>
      </c>
      <c r="M185" s="1">
        <v>2</v>
      </c>
      <c r="N185" s="1">
        <v>3</v>
      </c>
      <c r="O185" s="3">
        <v>20</v>
      </c>
      <c r="P185" s="1">
        <v>1</v>
      </c>
      <c r="Q185" s="1">
        <v>0</v>
      </c>
      <c r="R185" s="1">
        <v>1</v>
      </c>
      <c r="S185" s="1">
        <v>15</v>
      </c>
      <c r="T185" s="1">
        <v>21</v>
      </c>
      <c r="U185" s="1">
        <v>7</v>
      </c>
      <c r="V185" s="1">
        <v>16</v>
      </c>
      <c r="W185" s="1">
        <v>34</v>
      </c>
      <c r="X185" s="1">
        <v>19</v>
      </c>
      <c r="Y185" s="1">
        <v>40</v>
      </c>
      <c r="Z185" s="1">
        <v>32</v>
      </c>
      <c r="AA185" s="1">
        <v>58</v>
      </c>
      <c r="AB185" s="3">
        <v>244</v>
      </c>
      <c r="AC185" s="1">
        <v>27</v>
      </c>
      <c r="AD185" s="1">
        <v>5</v>
      </c>
      <c r="AE185" s="1">
        <v>15</v>
      </c>
      <c r="AF185" s="1">
        <v>7</v>
      </c>
      <c r="AG185" s="1">
        <v>27</v>
      </c>
      <c r="AH185" s="1">
        <v>28</v>
      </c>
      <c r="AI185" s="1">
        <v>46</v>
      </c>
      <c r="AJ185" s="1">
        <v>42</v>
      </c>
      <c r="AK185" s="1">
        <v>47</v>
      </c>
      <c r="AL185" s="1">
        <v>30</v>
      </c>
      <c r="AM185" s="1">
        <v>23</v>
      </c>
      <c r="AN185" s="1">
        <v>37</v>
      </c>
      <c r="AO185" s="3">
        <v>334</v>
      </c>
      <c r="AP185" s="1">
        <v>37</v>
      </c>
      <c r="AQ185" s="1">
        <v>12</v>
      </c>
      <c r="AR185" s="1">
        <v>15</v>
      </c>
      <c r="AS185" s="1">
        <v>63</v>
      </c>
      <c r="AT185" s="1">
        <v>51</v>
      </c>
      <c r="AU185" s="1">
        <v>20</v>
      </c>
      <c r="AV185" s="1">
        <v>42</v>
      </c>
      <c r="AW185" s="1">
        <v>38</v>
      </c>
      <c r="AX185" s="1">
        <v>74</v>
      </c>
      <c r="AY185" s="1">
        <v>41</v>
      </c>
      <c r="AZ185" s="1">
        <v>60</v>
      </c>
      <c r="BA185" s="1">
        <v>42</v>
      </c>
      <c r="BB185" s="3">
        <v>495</v>
      </c>
      <c r="BC185" s="1">
        <v>42</v>
      </c>
      <c r="BD185" s="1">
        <v>15</v>
      </c>
      <c r="BE185" s="1">
        <v>21</v>
      </c>
      <c r="BF185" s="1">
        <v>20</v>
      </c>
      <c r="BG185" s="1">
        <v>37</v>
      </c>
      <c r="BH185" s="1">
        <v>27</v>
      </c>
      <c r="BI185" s="1">
        <v>40</v>
      </c>
      <c r="BJ185" s="1">
        <v>18</v>
      </c>
      <c r="BK185" s="1">
        <v>29</v>
      </c>
      <c r="BL185" s="1">
        <v>14</v>
      </c>
      <c r="BM185" s="1">
        <v>14</v>
      </c>
      <c r="BN185" s="1">
        <v>55</v>
      </c>
      <c r="BO185" s="3">
        <v>332</v>
      </c>
      <c r="BP185" s="3">
        <f t="shared" si="3"/>
        <v>1425</v>
      </c>
    </row>
    <row r="186" spans="1:68" x14ac:dyDescent="0.2">
      <c r="A186" s="3">
        <v>138</v>
      </c>
      <c r="B186" t="s">
        <v>193</v>
      </c>
      <c r="C186" s="1">
        <v>0</v>
      </c>
      <c r="D186" s="1">
        <v>1</v>
      </c>
      <c r="E186" s="1">
        <v>1</v>
      </c>
      <c r="F186" s="1">
        <v>0</v>
      </c>
      <c r="G186" s="1">
        <v>0</v>
      </c>
      <c r="H186" s="1">
        <v>1</v>
      </c>
      <c r="I186" s="1">
        <v>0</v>
      </c>
      <c r="J186" s="1">
        <v>0</v>
      </c>
      <c r="K186" s="1">
        <v>0</v>
      </c>
      <c r="L186" s="1">
        <v>3</v>
      </c>
      <c r="M186" s="1">
        <v>1</v>
      </c>
      <c r="N186" s="1">
        <v>1</v>
      </c>
      <c r="O186" s="3">
        <v>8</v>
      </c>
      <c r="P186" s="1">
        <v>0</v>
      </c>
      <c r="Q186" s="1">
        <v>0</v>
      </c>
      <c r="R186" s="1">
        <v>1</v>
      </c>
      <c r="S186" s="1">
        <v>4</v>
      </c>
      <c r="T186" s="1">
        <v>6</v>
      </c>
      <c r="U186" s="1">
        <v>4</v>
      </c>
      <c r="V186" s="1">
        <v>9</v>
      </c>
      <c r="W186" s="1">
        <v>8</v>
      </c>
      <c r="X186" s="1">
        <v>4</v>
      </c>
      <c r="Y186" s="1">
        <v>6</v>
      </c>
      <c r="Z186" s="1">
        <v>8</v>
      </c>
      <c r="AA186" s="1">
        <v>18</v>
      </c>
      <c r="AB186" s="3">
        <v>68</v>
      </c>
      <c r="AC186" s="1">
        <v>12</v>
      </c>
      <c r="AD186" s="1">
        <v>13</v>
      </c>
      <c r="AE186" s="1">
        <v>26</v>
      </c>
      <c r="AF186" s="1">
        <v>16</v>
      </c>
      <c r="AG186" s="1">
        <v>4</v>
      </c>
      <c r="AH186" s="1">
        <v>22</v>
      </c>
      <c r="AI186" s="1">
        <v>18</v>
      </c>
      <c r="AJ186" s="1">
        <v>20</v>
      </c>
      <c r="AK186" s="1">
        <v>10</v>
      </c>
      <c r="AL186" s="1">
        <v>14</v>
      </c>
      <c r="AM186" s="1">
        <v>11</v>
      </c>
      <c r="AN186" s="1">
        <v>31</v>
      </c>
      <c r="AO186" s="3">
        <v>197</v>
      </c>
      <c r="AP186" s="1">
        <v>8</v>
      </c>
      <c r="AQ186" s="1">
        <v>21</v>
      </c>
      <c r="AR186" s="1">
        <v>34</v>
      </c>
      <c r="AS186" s="1">
        <v>22</v>
      </c>
      <c r="AT186" s="1">
        <v>20</v>
      </c>
      <c r="AU186" s="1">
        <v>36</v>
      </c>
      <c r="AV186" s="1">
        <v>48</v>
      </c>
      <c r="AW186" s="1">
        <v>29</v>
      </c>
      <c r="AX186" s="1">
        <v>18</v>
      </c>
      <c r="AY186" s="1">
        <v>27</v>
      </c>
      <c r="AZ186" s="1">
        <v>31</v>
      </c>
      <c r="BA186" s="1">
        <v>38</v>
      </c>
      <c r="BB186" s="3">
        <v>332</v>
      </c>
      <c r="BC186" s="1">
        <v>25</v>
      </c>
      <c r="BD186" s="1">
        <v>18</v>
      </c>
      <c r="BE186" s="1">
        <v>55</v>
      </c>
      <c r="BF186" s="1">
        <v>27</v>
      </c>
      <c r="BG186" s="1">
        <v>38</v>
      </c>
      <c r="BH186" s="1">
        <v>44</v>
      </c>
      <c r="BI186" s="1">
        <v>49</v>
      </c>
      <c r="BJ186" s="1">
        <v>55</v>
      </c>
      <c r="BK186" s="1">
        <v>32</v>
      </c>
      <c r="BL186" s="1">
        <v>35</v>
      </c>
      <c r="BM186" s="1">
        <v>23</v>
      </c>
      <c r="BN186" s="1">
        <v>26</v>
      </c>
      <c r="BO186" s="3">
        <v>427</v>
      </c>
      <c r="BP186" s="3">
        <f t="shared" si="3"/>
        <v>1032</v>
      </c>
    </row>
    <row r="187" spans="1:68" x14ac:dyDescent="0.2">
      <c r="A187" s="3">
        <v>139</v>
      </c>
      <c r="B187" t="s">
        <v>194</v>
      </c>
      <c r="C187" s="1">
        <v>0</v>
      </c>
      <c r="D187" s="1">
        <v>0</v>
      </c>
      <c r="E187" s="1">
        <v>1</v>
      </c>
      <c r="F187" s="1">
        <v>1</v>
      </c>
      <c r="G187" s="1">
        <v>1</v>
      </c>
      <c r="H187" s="1">
        <v>2</v>
      </c>
      <c r="I187" s="1">
        <v>0</v>
      </c>
      <c r="J187" s="1">
        <v>0</v>
      </c>
      <c r="K187" s="1">
        <v>1</v>
      </c>
      <c r="L187" s="1">
        <v>2</v>
      </c>
      <c r="M187" s="1">
        <v>0</v>
      </c>
      <c r="N187" s="1">
        <v>0</v>
      </c>
      <c r="O187" s="3">
        <v>8</v>
      </c>
      <c r="P187" s="1">
        <v>1</v>
      </c>
      <c r="Q187" s="1">
        <v>2</v>
      </c>
      <c r="R187" s="1">
        <v>3</v>
      </c>
      <c r="S187" s="1">
        <v>4</v>
      </c>
      <c r="T187" s="1">
        <v>3</v>
      </c>
      <c r="U187" s="1">
        <v>7</v>
      </c>
      <c r="V187" s="1">
        <v>14</v>
      </c>
      <c r="W187" s="1">
        <v>15</v>
      </c>
      <c r="X187" s="1">
        <v>10</v>
      </c>
      <c r="Y187" s="1">
        <v>16</v>
      </c>
      <c r="Z187" s="1">
        <v>12</v>
      </c>
      <c r="AA187" s="1">
        <v>8</v>
      </c>
      <c r="AB187" s="3">
        <v>95</v>
      </c>
      <c r="AC187" s="1">
        <v>10</v>
      </c>
      <c r="AD187" s="1">
        <v>8</v>
      </c>
      <c r="AE187" s="1">
        <v>16</v>
      </c>
      <c r="AF187" s="1">
        <v>27</v>
      </c>
      <c r="AG187" s="1">
        <v>26</v>
      </c>
      <c r="AH187" s="1">
        <v>23</v>
      </c>
      <c r="AI187" s="1">
        <v>33</v>
      </c>
      <c r="AJ187" s="1">
        <v>23</v>
      </c>
      <c r="AK187" s="1">
        <v>37</v>
      </c>
      <c r="AL187" s="1">
        <v>30</v>
      </c>
      <c r="AM187" s="1">
        <v>27</v>
      </c>
      <c r="AN187" s="1">
        <v>12</v>
      </c>
      <c r="AO187" s="3">
        <v>272</v>
      </c>
      <c r="AP187" s="1">
        <v>14</v>
      </c>
      <c r="AQ187" s="1">
        <v>11</v>
      </c>
      <c r="AR187" s="1">
        <v>47</v>
      </c>
      <c r="AS187" s="1">
        <v>17</v>
      </c>
      <c r="AT187" s="1">
        <v>25</v>
      </c>
      <c r="AU187" s="1">
        <v>9</v>
      </c>
      <c r="AV187" s="1">
        <v>32</v>
      </c>
      <c r="AW187" s="1">
        <v>20</v>
      </c>
      <c r="AX187" s="1">
        <v>27</v>
      </c>
      <c r="AY187" s="1">
        <v>56</v>
      </c>
      <c r="AZ187" s="1">
        <v>37</v>
      </c>
      <c r="BA187" s="1">
        <v>20</v>
      </c>
      <c r="BB187" s="3">
        <v>315</v>
      </c>
      <c r="BC187" s="1">
        <v>10</v>
      </c>
      <c r="BD187" s="1">
        <v>17</v>
      </c>
      <c r="BE187" s="1">
        <v>16</v>
      </c>
      <c r="BF187" s="1">
        <v>34</v>
      </c>
      <c r="BG187" s="1">
        <v>58</v>
      </c>
      <c r="BH187" s="1">
        <v>26</v>
      </c>
      <c r="BI187" s="1">
        <v>65</v>
      </c>
      <c r="BJ187" s="1">
        <v>49</v>
      </c>
      <c r="BK187" s="1">
        <v>31</v>
      </c>
      <c r="BL187" s="1">
        <v>36</v>
      </c>
      <c r="BM187" s="1">
        <v>41</v>
      </c>
      <c r="BN187" s="1">
        <v>30</v>
      </c>
      <c r="BO187" s="3">
        <v>413</v>
      </c>
      <c r="BP187" s="3">
        <f t="shared" si="3"/>
        <v>1103</v>
      </c>
    </row>
    <row r="188" spans="1:68" x14ac:dyDescent="0.2">
      <c r="A188" s="3">
        <v>140</v>
      </c>
      <c r="B188" t="s">
        <v>195</v>
      </c>
      <c r="C188" s="1">
        <v>0</v>
      </c>
      <c r="D188" s="1">
        <v>0</v>
      </c>
      <c r="E188" s="1">
        <v>0</v>
      </c>
      <c r="F188" s="1">
        <v>3</v>
      </c>
      <c r="G188" s="1">
        <v>0</v>
      </c>
      <c r="H188" s="1">
        <v>1</v>
      </c>
      <c r="I188" s="1">
        <v>0</v>
      </c>
      <c r="J188" s="1">
        <v>0</v>
      </c>
      <c r="K188" s="1">
        <v>0</v>
      </c>
      <c r="L188" s="1">
        <v>0</v>
      </c>
      <c r="M188" s="1">
        <v>2</v>
      </c>
      <c r="N188" s="1">
        <v>0</v>
      </c>
      <c r="O188" s="3">
        <v>6</v>
      </c>
      <c r="P188" s="1">
        <v>0</v>
      </c>
      <c r="Q188" s="1">
        <v>1</v>
      </c>
      <c r="R188" s="1">
        <v>2</v>
      </c>
      <c r="S188" s="1">
        <v>2</v>
      </c>
      <c r="T188" s="1">
        <v>5</v>
      </c>
      <c r="U188" s="1">
        <v>11</v>
      </c>
      <c r="V188" s="1">
        <v>4</v>
      </c>
      <c r="W188" s="1">
        <v>5</v>
      </c>
      <c r="X188" s="1">
        <v>12</v>
      </c>
      <c r="Y188" s="1">
        <v>12</v>
      </c>
      <c r="Z188" s="1">
        <v>8</v>
      </c>
      <c r="AA188" s="1">
        <v>12</v>
      </c>
      <c r="AB188" s="3">
        <v>74</v>
      </c>
      <c r="AC188" s="1">
        <v>5</v>
      </c>
      <c r="AD188" s="1">
        <v>7</v>
      </c>
      <c r="AE188" s="1">
        <v>11</v>
      </c>
      <c r="AF188" s="1">
        <v>15</v>
      </c>
      <c r="AG188" s="1">
        <v>11</v>
      </c>
      <c r="AH188" s="1">
        <v>18</v>
      </c>
      <c r="AI188" s="1">
        <v>21</v>
      </c>
      <c r="AJ188" s="1">
        <v>14</v>
      </c>
      <c r="AK188" s="1">
        <v>22</v>
      </c>
      <c r="AL188" s="1">
        <v>10</v>
      </c>
      <c r="AM188" s="1">
        <v>11</v>
      </c>
      <c r="AN188" s="1">
        <v>12</v>
      </c>
      <c r="AO188" s="3">
        <v>157</v>
      </c>
      <c r="AP188" s="1">
        <v>12</v>
      </c>
      <c r="AQ188" s="1">
        <v>18</v>
      </c>
      <c r="AR188" s="1">
        <v>11</v>
      </c>
      <c r="AS188" s="1">
        <v>18</v>
      </c>
      <c r="AT188" s="1">
        <v>22</v>
      </c>
      <c r="AU188" s="1">
        <v>27</v>
      </c>
      <c r="AV188" s="1">
        <v>25</v>
      </c>
      <c r="AW188" s="1">
        <v>39</v>
      </c>
      <c r="AX188" s="1">
        <v>20</v>
      </c>
      <c r="AY188" s="1">
        <v>20</v>
      </c>
      <c r="AZ188" s="1">
        <v>22</v>
      </c>
      <c r="BA188" s="1">
        <v>28</v>
      </c>
      <c r="BB188" s="3">
        <v>262</v>
      </c>
      <c r="BC188" s="1">
        <v>16</v>
      </c>
      <c r="BD188" s="1">
        <v>12</v>
      </c>
      <c r="BE188" s="1">
        <v>17</v>
      </c>
      <c r="BF188" s="1">
        <v>15</v>
      </c>
      <c r="BG188" s="1">
        <v>24</v>
      </c>
      <c r="BH188" s="1">
        <v>44</v>
      </c>
      <c r="BI188" s="1">
        <v>50</v>
      </c>
      <c r="BJ188" s="1">
        <v>46</v>
      </c>
      <c r="BK188" s="1">
        <v>10</v>
      </c>
      <c r="BL188" s="1">
        <v>24</v>
      </c>
      <c r="BM188" s="1">
        <v>38</v>
      </c>
      <c r="BN188" s="1">
        <v>27</v>
      </c>
      <c r="BO188" s="3">
        <v>323</v>
      </c>
      <c r="BP188" s="3">
        <f t="shared" si="3"/>
        <v>822</v>
      </c>
    </row>
    <row r="189" spans="1:68" x14ac:dyDescent="0.2">
      <c r="A189" s="3">
        <v>141</v>
      </c>
      <c r="B189" t="s">
        <v>196</v>
      </c>
      <c r="C189" s="1">
        <v>0</v>
      </c>
      <c r="D189" s="1">
        <v>2</v>
      </c>
      <c r="E189" s="1">
        <v>0</v>
      </c>
      <c r="F189" s="1">
        <v>0</v>
      </c>
      <c r="G189" s="1">
        <v>0</v>
      </c>
      <c r="H189" s="1">
        <v>5</v>
      </c>
      <c r="I189" s="1">
        <v>1</v>
      </c>
      <c r="J189" s="1">
        <v>0</v>
      </c>
      <c r="K189" s="1">
        <v>0</v>
      </c>
      <c r="L189" s="1">
        <v>2</v>
      </c>
      <c r="M189" s="1">
        <v>0</v>
      </c>
      <c r="N189" s="1">
        <v>1</v>
      </c>
      <c r="O189" s="3">
        <v>11</v>
      </c>
      <c r="P189" s="1">
        <v>1</v>
      </c>
      <c r="Q189" s="1">
        <v>0</v>
      </c>
      <c r="R189" s="1">
        <v>7</v>
      </c>
      <c r="S189" s="1">
        <v>2</v>
      </c>
      <c r="T189" s="1">
        <v>10</v>
      </c>
      <c r="U189" s="1">
        <v>7</v>
      </c>
      <c r="V189" s="1">
        <v>6</v>
      </c>
      <c r="W189" s="1">
        <v>11</v>
      </c>
      <c r="X189" s="1">
        <v>7</v>
      </c>
      <c r="Y189" s="1">
        <v>14</v>
      </c>
      <c r="Z189" s="1">
        <v>12</v>
      </c>
      <c r="AA189" s="1">
        <v>16</v>
      </c>
      <c r="AB189" s="3">
        <v>93</v>
      </c>
      <c r="AC189" s="1">
        <v>16</v>
      </c>
      <c r="AD189" s="1">
        <v>13</v>
      </c>
      <c r="AE189" s="1">
        <v>14</v>
      </c>
      <c r="AF189" s="1">
        <v>15</v>
      </c>
      <c r="AG189" s="1">
        <v>12</v>
      </c>
      <c r="AH189" s="1">
        <v>9</v>
      </c>
      <c r="AI189" s="1">
        <v>23</v>
      </c>
      <c r="AJ189" s="1">
        <v>19</v>
      </c>
      <c r="AK189" s="1">
        <v>20</v>
      </c>
      <c r="AL189" s="1">
        <v>26</v>
      </c>
      <c r="AM189" s="1">
        <v>20</v>
      </c>
      <c r="AN189" s="1">
        <v>26</v>
      </c>
      <c r="AO189" s="3">
        <v>213</v>
      </c>
      <c r="AP189" s="1">
        <v>13</v>
      </c>
      <c r="AQ189" s="1">
        <v>20</v>
      </c>
      <c r="AR189" s="1">
        <v>15</v>
      </c>
      <c r="AS189" s="1">
        <v>26</v>
      </c>
      <c r="AT189" s="1">
        <v>30</v>
      </c>
      <c r="AU189" s="1">
        <v>16</v>
      </c>
      <c r="AV189" s="1">
        <v>27</v>
      </c>
      <c r="AW189" s="1">
        <v>31</v>
      </c>
      <c r="AX189" s="1">
        <v>19</v>
      </c>
      <c r="AY189" s="1">
        <v>43</v>
      </c>
      <c r="AZ189" s="1">
        <v>33</v>
      </c>
      <c r="BA189" s="1">
        <v>9</v>
      </c>
      <c r="BB189" s="3">
        <v>282</v>
      </c>
      <c r="BC189" s="1">
        <v>23</v>
      </c>
      <c r="BD189" s="1">
        <v>16</v>
      </c>
      <c r="BE189" s="1">
        <v>21</v>
      </c>
      <c r="BF189" s="1">
        <v>19</v>
      </c>
      <c r="BG189" s="1">
        <v>10</v>
      </c>
      <c r="BH189" s="1">
        <v>18</v>
      </c>
      <c r="BI189" s="1">
        <v>22</v>
      </c>
      <c r="BJ189" s="1">
        <v>26</v>
      </c>
      <c r="BK189" s="1">
        <v>43</v>
      </c>
      <c r="BL189" s="1">
        <v>43</v>
      </c>
      <c r="BM189" s="1">
        <v>20</v>
      </c>
      <c r="BN189" s="1">
        <v>27</v>
      </c>
      <c r="BO189" s="3">
        <v>288</v>
      </c>
      <c r="BP189" s="3">
        <f t="shared" si="3"/>
        <v>887</v>
      </c>
    </row>
    <row r="190" spans="1:68" x14ac:dyDescent="0.2">
      <c r="A190" s="3">
        <v>142</v>
      </c>
      <c r="B190" t="s">
        <v>197</v>
      </c>
      <c r="C190" s="1">
        <v>0</v>
      </c>
      <c r="D190" s="1">
        <v>1</v>
      </c>
      <c r="E190" s="1">
        <v>0</v>
      </c>
      <c r="F190" s="1">
        <v>0</v>
      </c>
      <c r="G190" s="1">
        <v>0</v>
      </c>
      <c r="H190" s="1">
        <v>0</v>
      </c>
      <c r="I190" s="1">
        <v>0</v>
      </c>
      <c r="J190" s="1">
        <v>0</v>
      </c>
      <c r="K190" s="1">
        <v>0</v>
      </c>
      <c r="L190" s="1">
        <v>0</v>
      </c>
      <c r="M190" s="1">
        <v>0</v>
      </c>
      <c r="N190" s="1">
        <v>0</v>
      </c>
      <c r="O190" s="3">
        <v>1</v>
      </c>
      <c r="P190" s="1">
        <v>0</v>
      </c>
      <c r="Q190" s="1">
        <v>0</v>
      </c>
      <c r="R190" s="1">
        <v>1</v>
      </c>
      <c r="S190" s="1">
        <v>1</v>
      </c>
      <c r="T190" s="1">
        <v>8</v>
      </c>
      <c r="U190" s="1">
        <v>4</v>
      </c>
      <c r="V190" s="1">
        <v>3</v>
      </c>
      <c r="W190" s="1">
        <v>1</v>
      </c>
      <c r="X190" s="1">
        <v>4</v>
      </c>
      <c r="Y190" s="1">
        <v>2</v>
      </c>
      <c r="Z190" s="1">
        <v>5</v>
      </c>
      <c r="AA190" s="1">
        <v>6</v>
      </c>
      <c r="AB190" s="3">
        <v>35</v>
      </c>
      <c r="AC190" s="1">
        <v>3</v>
      </c>
      <c r="AD190" s="1">
        <v>2</v>
      </c>
      <c r="AE190" s="1">
        <v>3</v>
      </c>
      <c r="AF190" s="1">
        <v>9</v>
      </c>
      <c r="AG190" s="1">
        <v>4</v>
      </c>
      <c r="AH190" s="1">
        <v>5</v>
      </c>
      <c r="AI190" s="1">
        <v>1</v>
      </c>
      <c r="AJ190" s="1">
        <v>7</v>
      </c>
      <c r="AK190" s="1">
        <v>10</v>
      </c>
      <c r="AL190" s="1">
        <v>20</v>
      </c>
      <c r="AM190" s="1">
        <v>8</v>
      </c>
      <c r="AN190" s="1">
        <v>7</v>
      </c>
      <c r="AO190" s="3">
        <v>79</v>
      </c>
      <c r="AP190" s="1">
        <v>6</v>
      </c>
      <c r="AQ190" s="1">
        <v>3</v>
      </c>
      <c r="AR190" s="1">
        <v>7</v>
      </c>
      <c r="AS190" s="1">
        <v>5</v>
      </c>
      <c r="AT190" s="1">
        <v>10</v>
      </c>
      <c r="AU190" s="1">
        <v>6</v>
      </c>
      <c r="AV190" s="1">
        <v>11</v>
      </c>
      <c r="AW190" s="1">
        <v>13</v>
      </c>
      <c r="AX190" s="1">
        <v>4</v>
      </c>
      <c r="AY190" s="1">
        <v>5</v>
      </c>
      <c r="AZ190" s="1">
        <v>10</v>
      </c>
      <c r="BA190" s="1">
        <v>3</v>
      </c>
      <c r="BB190" s="3">
        <v>83</v>
      </c>
      <c r="BC190" s="1">
        <v>3</v>
      </c>
      <c r="BD190" s="1">
        <v>5</v>
      </c>
      <c r="BE190" s="1">
        <v>8</v>
      </c>
      <c r="BF190" s="1">
        <v>10</v>
      </c>
      <c r="BG190" s="1">
        <v>5</v>
      </c>
      <c r="BH190" s="1">
        <v>6</v>
      </c>
      <c r="BI190" s="1">
        <v>8</v>
      </c>
      <c r="BJ190" s="1">
        <v>7</v>
      </c>
      <c r="BK190" s="1">
        <v>13</v>
      </c>
      <c r="BL190" s="1">
        <v>6</v>
      </c>
      <c r="BM190" s="1">
        <v>4</v>
      </c>
      <c r="BN190" s="1">
        <v>7</v>
      </c>
      <c r="BO190" s="3">
        <v>82</v>
      </c>
      <c r="BP190" s="3">
        <f t="shared" si="3"/>
        <v>280</v>
      </c>
    </row>
    <row r="191" spans="1:68" x14ac:dyDescent="0.2">
      <c r="A191" s="3">
        <v>143</v>
      </c>
      <c r="B191" t="s">
        <v>198</v>
      </c>
      <c r="C191" s="1">
        <v>0</v>
      </c>
      <c r="D191" s="1">
        <v>0</v>
      </c>
      <c r="E191" s="1">
        <v>0</v>
      </c>
      <c r="F191" s="1">
        <v>0</v>
      </c>
      <c r="G191" s="1">
        <v>0</v>
      </c>
      <c r="H191" s="1">
        <v>0</v>
      </c>
      <c r="I191" s="1">
        <v>0</v>
      </c>
      <c r="J191" s="1">
        <v>0</v>
      </c>
      <c r="K191" s="1">
        <v>0</v>
      </c>
      <c r="L191" s="1">
        <v>0</v>
      </c>
      <c r="M191" s="1">
        <v>2</v>
      </c>
      <c r="N191" s="1">
        <v>0</v>
      </c>
      <c r="O191" s="3">
        <v>2</v>
      </c>
      <c r="P191" s="1">
        <v>0</v>
      </c>
      <c r="Q191" s="1">
        <v>0</v>
      </c>
      <c r="R191" s="1">
        <v>0</v>
      </c>
      <c r="S191" s="1">
        <v>2</v>
      </c>
      <c r="T191" s="1">
        <v>2</v>
      </c>
      <c r="U191" s="1">
        <v>6</v>
      </c>
      <c r="V191" s="1">
        <v>2</v>
      </c>
      <c r="W191" s="1">
        <v>0</v>
      </c>
      <c r="X191" s="1">
        <v>1</v>
      </c>
      <c r="Y191" s="1">
        <v>1</v>
      </c>
      <c r="Z191" s="1">
        <v>6</v>
      </c>
      <c r="AA191" s="1">
        <v>5</v>
      </c>
      <c r="AB191" s="3">
        <v>25</v>
      </c>
      <c r="AC191" s="1">
        <v>3</v>
      </c>
      <c r="AD191" s="1">
        <v>1</v>
      </c>
      <c r="AE191" s="1">
        <v>3</v>
      </c>
      <c r="AF191" s="1">
        <v>1</v>
      </c>
      <c r="AG191" s="1">
        <v>1</v>
      </c>
      <c r="AH191" s="1">
        <v>5</v>
      </c>
      <c r="AI191" s="1">
        <v>6</v>
      </c>
      <c r="AJ191" s="1">
        <v>2</v>
      </c>
      <c r="AK191" s="1">
        <v>5</v>
      </c>
      <c r="AL191" s="1">
        <v>4</v>
      </c>
      <c r="AM191" s="1">
        <v>4</v>
      </c>
      <c r="AN191" s="1">
        <v>8</v>
      </c>
      <c r="AO191" s="3">
        <v>43</v>
      </c>
      <c r="AP191" s="1">
        <v>0</v>
      </c>
      <c r="AQ191" s="1">
        <v>2</v>
      </c>
      <c r="AR191" s="1">
        <v>0</v>
      </c>
      <c r="AS191" s="1">
        <v>3</v>
      </c>
      <c r="AT191" s="1">
        <v>8</v>
      </c>
      <c r="AU191" s="1">
        <v>2</v>
      </c>
      <c r="AV191" s="1">
        <v>4</v>
      </c>
      <c r="AW191" s="1">
        <v>4</v>
      </c>
      <c r="AX191" s="1">
        <v>6</v>
      </c>
      <c r="AY191" s="1">
        <v>6</v>
      </c>
      <c r="AZ191" s="1">
        <v>6</v>
      </c>
      <c r="BA191" s="1">
        <v>1</v>
      </c>
      <c r="BB191" s="3">
        <v>42</v>
      </c>
      <c r="BC191" s="1">
        <v>7</v>
      </c>
      <c r="BD191" s="1">
        <v>4</v>
      </c>
      <c r="BE191" s="1">
        <v>7</v>
      </c>
      <c r="BF191" s="1">
        <v>4</v>
      </c>
      <c r="BG191" s="1">
        <v>3</v>
      </c>
      <c r="BH191" s="1">
        <v>9</v>
      </c>
      <c r="BI191" s="1">
        <v>11</v>
      </c>
      <c r="BJ191" s="1">
        <v>4</v>
      </c>
      <c r="BK191" s="1">
        <v>9</v>
      </c>
      <c r="BL191" s="1">
        <v>5</v>
      </c>
      <c r="BM191" s="1">
        <v>2</v>
      </c>
      <c r="BN191" s="1">
        <v>6</v>
      </c>
      <c r="BO191" s="3">
        <v>71</v>
      </c>
      <c r="BP191" s="3">
        <f t="shared" si="3"/>
        <v>183</v>
      </c>
    </row>
    <row r="192" spans="1:68" x14ac:dyDescent="0.2">
      <c r="A192" s="3">
        <v>144</v>
      </c>
      <c r="B192" t="s">
        <v>199</v>
      </c>
      <c r="C192" s="1">
        <v>0</v>
      </c>
      <c r="D192" s="1">
        <v>0</v>
      </c>
      <c r="E192" s="1">
        <v>0</v>
      </c>
      <c r="F192" s="1">
        <v>0</v>
      </c>
      <c r="G192" s="1">
        <v>1</v>
      </c>
      <c r="H192" s="1">
        <v>0</v>
      </c>
      <c r="I192" s="1">
        <v>0</v>
      </c>
      <c r="J192" s="1">
        <v>0</v>
      </c>
      <c r="K192" s="1">
        <v>0</v>
      </c>
      <c r="L192" s="1">
        <v>0</v>
      </c>
      <c r="M192" s="1">
        <v>0</v>
      </c>
      <c r="N192" s="1">
        <v>0</v>
      </c>
      <c r="O192" s="3">
        <v>1</v>
      </c>
      <c r="P192" s="1">
        <v>0</v>
      </c>
      <c r="Q192" s="1">
        <v>0</v>
      </c>
      <c r="R192" s="1">
        <v>2</v>
      </c>
      <c r="S192" s="1">
        <v>4</v>
      </c>
      <c r="T192" s="1">
        <v>0</v>
      </c>
      <c r="U192" s="1">
        <v>1</v>
      </c>
      <c r="V192" s="1">
        <v>2</v>
      </c>
      <c r="W192" s="1">
        <v>2</v>
      </c>
      <c r="X192" s="1">
        <v>3</v>
      </c>
      <c r="Y192" s="1">
        <v>2</v>
      </c>
      <c r="Z192" s="1">
        <v>3</v>
      </c>
      <c r="AA192" s="1">
        <v>5</v>
      </c>
      <c r="AB192" s="3">
        <v>24</v>
      </c>
      <c r="AC192" s="1">
        <v>2</v>
      </c>
      <c r="AD192" s="1">
        <v>2</v>
      </c>
      <c r="AE192" s="1">
        <v>2</v>
      </c>
      <c r="AF192" s="1">
        <v>2</v>
      </c>
      <c r="AG192" s="1">
        <v>3</v>
      </c>
      <c r="AH192" s="1">
        <v>3</v>
      </c>
      <c r="AI192" s="1">
        <v>3</v>
      </c>
      <c r="AJ192" s="1">
        <v>6</v>
      </c>
      <c r="AK192" s="1">
        <v>3</v>
      </c>
      <c r="AL192" s="1">
        <v>8</v>
      </c>
      <c r="AM192" s="1">
        <v>4</v>
      </c>
      <c r="AN192" s="1">
        <v>1</v>
      </c>
      <c r="AO192" s="3">
        <v>39</v>
      </c>
      <c r="AP192" s="1">
        <v>3</v>
      </c>
      <c r="AQ192" s="1">
        <v>3</v>
      </c>
      <c r="AR192" s="1">
        <v>10</v>
      </c>
      <c r="AS192" s="1">
        <v>8</v>
      </c>
      <c r="AT192" s="1">
        <v>10</v>
      </c>
      <c r="AU192" s="1">
        <v>5</v>
      </c>
      <c r="AV192" s="1">
        <v>5</v>
      </c>
      <c r="AW192" s="1">
        <v>10</v>
      </c>
      <c r="AX192" s="1">
        <v>16</v>
      </c>
      <c r="AY192" s="1">
        <v>7</v>
      </c>
      <c r="AZ192" s="1">
        <v>5</v>
      </c>
      <c r="BA192" s="1">
        <v>4</v>
      </c>
      <c r="BB192" s="3">
        <v>86</v>
      </c>
      <c r="BC192" s="1">
        <v>5</v>
      </c>
      <c r="BD192" s="1">
        <v>6</v>
      </c>
      <c r="BE192" s="1">
        <v>4</v>
      </c>
      <c r="BF192" s="1">
        <v>7</v>
      </c>
      <c r="BG192" s="1">
        <v>14</v>
      </c>
      <c r="BH192" s="1">
        <v>11</v>
      </c>
      <c r="BI192" s="1">
        <v>14</v>
      </c>
      <c r="BJ192" s="1">
        <v>5</v>
      </c>
      <c r="BK192" s="1">
        <v>6</v>
      </c>
      <c r="BL192" s="1">
        <v>7</v>
      </c>
      <c r="BM192" s="1">
        <v>13</v>
      </c>
      <c r="BN192" s="1">
        <v>8</v>
      </c>
      <c r="BO192" s="3">
        <v>100</v>
      </c>
      <c r="BP192" s="3">
        <f t="shared" si="3"/>
        <v>250</v>
      </c>
    </row>
    <row r="193" spans="1:69" x14ac:dyDescent="0.2">
      <c r="A193" s="3">
        <v>145</v>
      </c>
      <c r="B193" t="s">
        <v>200</v>
      </c>
      <c r="C193" s="1">
        <v>0</v>
      </c>
      <c r="D193" s="1">
        <v>0</v>
      </c>
      <c r="E193" s="1">
        <v>0</v>
      </c>
      <c r="F193" s="1">
        <v>1</v>
      </c>
      <c r="G193" s="1">
        <v>1</v>
      </c>
      <c r="H193" s="1">
        <v>0</v>
      </c>
      <c r="I193" s="1">
        <v>0</v>
      </c>
      <c r="J193" s="1">
        <v>0</v>
      </c>
      <c r="K193" s="1">
        <v>0</v>
      </c>
      <c r="L193" s="1">
        <v>0</v>
      </c>
      <c r="M193" s="1">
        <v>0</v>
      </c>
      <c r="N193" s="1">
        <v>0</v>
      </c>
      <c r="O193" s="3">
        <v>2</v>
      </c>
      <c r="P193" s="1">
        <v>0</v>
      </c>
      <c r="Q193" s="1">
        <v>0</v>
      </c>
      <c r="R193" s="1">
        <v>1</v>
      </c>
      <c r="S193" s="1">
        <v>4</v>
      </c>
      <c r="T193" s="1">
        <v>1</v>
      </c>
      <c r="U193" s="1">
        <v>1</v>
      </c>
      <c r="V193" s="1">
        <v>0</v>
      </c>
      <c r="W193" s="1">
        <v>3</v>
      </c>
      <c r="X193" s="1">
        <v>8</v>
      </c>
      <c r="Y193" s="1">
        <v>1</v>
      </c>
      <c r="Z193" s="1">
        <v>3</v>
      </c>
      <c r="AA193" s="1">
        <v>1</v>
      </c>
      <c r="AB193" s="3">
        <v>23</v>
      </c>
      <c r="AC193" s="1">
        <v>2</v>
      </c>
      <c r="AD193" s="1">
        <v>2</v>
      </c>
      <c r="AE193" s="1">
        <v>7</v>
      </c>
      <c r="AF193" s="1">
        <v>1</v>
      </c>
      <c r="AG193" s="1">
        <v>2</v>
      </c>
      <c r="AH193" s="1">
        <v>8</v>
      </c>
      <c r="AI193" s="1">
        <v>16</v>
      </c>
      <c r="AJ193" s="1">
        <v>4</v>
      </c>
      <c r="AK193" s="1">
        <v>6</v>
      </c>
      <c r="AL193" s="1">
        <v>7</v>
      </c>
      <c r="AM193" s="1">
        <v>3</v>
      </c>
      <c r="AN193" s="1">
        <v>2</v>
      </c>
      <c r="AO193" s="3">
        <v>60</v>
      </c>
      <c r="AP193" s="1">
        <v>3</v>
      </c>
      <c r="AQ193" s="1">
        <v>6</v>
      </c>
      <c r="AR193" s="1">
        <v>1</v>
      </c>
      <c r="AS193" s="1">
        <v>6</v>
      </c>
      <c r="AT193" s="1">
        <v>9</v>
      </c>
      <c r="AU193" s="1">
        <v>5</v>
      </c>
      <c r="AV193" s="1">
        <v>5</v>
      </c>
      <c r="AW193" s="1">
        <v>10</v>
      </c>
      <c r="AX193" s="1">
        <v>4</v>
      </c>
      <c r="AY193" s="1">
        <v>2</v>
      </c>
      <c r="AZ193" s="1">
        <v>8</v>
      </c>
      <c r="BA193" s="1">
        <v>4</v>
      </c>
      <c r="BB193" s="3">
        <v>63</v>
      </c>
      <c r="BC193" s="1">
        <v>8</v>
      </c>
      <c r="BD193" s="1">
        <v>5</v>
      </c>
      <c r="BE193" s="1">
        <v>6</v>
      </c>
      <c r="BF193" s="1">
        <v>14</v>
      </c>
      <c r="BG193" s="1">
        <v>9</v>
      </c>
      <c r="BH193" s="1">
        <v>22</v>
      </c>
      <c r="BI193" s="1">
        <v>16</v>
      </c>
      <c r="BJ193" s="1">
        <v>18</v>
      </c>
      <c r="BK193" s="1">
        <v>10</v>
      </c>
      <c r="BL193" s="1">
        <v>8</v>
      </c>
      <c r="BM193" s="1">
        <v>11</v>
      </c>
      <c r="BN193" s="1">
        <v>18</v>
      </c>
      <c r="BO193" s="3">
        <v>145</v>
      </c>
      <c r="BP193" s="3">
        <f t="shared" si="3"/>
        <v>293</v>
      </c>
    </row>
    <row r="194" spans="1:69" x14ac:dyDescent="0.2">
      <c r="A194" s="3">
        <v>146</v>
      </c>
      <c r="B194" t="s">
        <v>201</v>
      </c>
      <c r="C194" s="1">
        <v>1</v>
      </c>
      <c r="D194" s="1">
        <v>0</v>
      </c>
      <c r="E194" s="1">
        <v>0</v>
      </c>
      <c r="F194" s="1">
        <v>1</v>
      </c>
      <c r="G194" s="1">
        <v>0</v>
      </c>
      <c r="H194" s="1">
        <v>0</v>
      </c>
      <c r="I194" s="1">
        <v>0</v>
      </c>
      <c r="J194" s="1">
        <v>0</v>
      </c>
      <c r="K194" s="1">
        <v>0</v>
      </c>
      <c r="L194" s="1">
        <v>0</v>
      </c>
      <c r="M194" s="1">
        <v>1</v>
      </c>
      <c r="N194" s="1">
        <v>0</v>
      </c>
      <c r="O194" s="3">
        <v>3</v>
      </c>
      <c r="P194" s="1">
        <v>0</v>
      </c>
      <c r="Q194" s="1">
        <v>0</v>
      </c>
      <c r="R194" s="1">
        <v>0</v>
      </c>
      <c r="S194" s="1">
        <v>7</v>
      </c>
      <c r="T194" s="1">
        <v>6</v>
      </c>
      <c r="U194" s="1">
        <v>3</v>
      </c>
      <c r="V194" s="1">
        <v>4</v>
      </c>
      <c r="W194" s="1">
        <v>3</v>
      </c>
      <c r="X194" s="1">
        <v>2</v>
      </c>
      <c r="Y194" s="1">
        <v>37</v>
      </c>
      <c r="Z194" s="1">
        <v>5</v>
      </c>
      <c r="AA194" s="1">
        <v>4</v>
      </c>
      <c r="AB194" s="3">
        <v>71</v>
      </c>
      <c r="AC194" s="1">
        <v>5</v>
      </c>
      <c r="AD194" s="1">
        <v>2</v>
      </c>
      <c r="AE194" s="1">
        <v>8</v>
      </c>
      <c r="AF194" s="1">
        <v>11</v>
      </c>
      <c r="AG194" s="1">
        <v>6</v>
      </c>
      <c r="AH194" s="1">
        <v>8</v>
      </c>
      <c r="AI194" s="1">
        <v>16</v>
      </c>
      <c r="AJ194" s="1">
        <v>7</v>
      </c>
      <c r="AK194" s="1">
        <v>16</v>
      </c>
      <c r="AL194" s="1">
        <v>15</v>
      </c>
      <c r="AM194" s="1">
        <v>6</v>
      </c>
      <c r="AN194" s="1">
        <v>12</v>
      </c>
      <c r="AO194" s="3">
        <v>112</v>
      </c>
      <c r="AP194" s="1">
        <v>4</v>
      </c>
      <c r="AQ194" s="1">
        <v>2</v>
      </c>
      <c r="AR194" s="1">
        <v>7</v>
      </c>
      <c r="AS194" s="1">
        <v>4</v>
      </c>
      <c r="AT194" s="1">
        <v>13</v>
      </c>
      <c r="AU194" s="1">
        <v>10</v>
      </c>
      <c r="AV194" s="1">
        <v>14</v>
      </c>
      <c r="AW194" s="1">
        <v>4</v>
      </c>
      <c r="AX194" s="1">
        <v>20</v>
      </c>
      <c r="AY194" s="1">
        <v>12</v>
      </c>
      <c r="AZ194" s="1">
        <v>16</v>
      </c>
      <c r="BA194" s="1">
        <v>5</v>
      </c>
      <c r="BB194" s="3">
        <v>111</v>
      </c>
      <c r="BC194" s="1">
        <v>8</v>
      </c>
      <c r="BD194" s="1">
        <v>11</v>
      </c>
      <c r="BE194" s="1">
        <v>7</v>
      </c>
      <c r="BF194" s="1">
        <v>15</v>
      </c>
      <c r="BG194" s="1">
        <v>2</v>
      </c>
      <c r="BH194" s="1">
        <v>10</v>
      </c>
      <c r="BI194" s="1">
        <v>6</v>
      </c>
      <c r="BJ194" s="1">
        <v>4</v>
      </c>
      <c r="BK194" s="1">
        <v>19</v>
      </c>
      <c r="BL194" s="1">
        <v>7</v>
      </c>
      <c r="BM194" s="1">
        <v>7</v>
      </c>
      <c r="BN194" s="1">
        <v>11</v>
      </c>
      <c r="BO194" s="3">
        <v>107</v>
      </c>
      <c r="BP194" s="3">
        <f t="shared" si="3"/>
        <v>404</v>
      </c>
    </row>
    <row r="195" spans="1:69" x14ac:dyDescent="0.2">
      <c r="A195" s="3">
        <v>147</v>
      </c>
      <c r="B195" t="s">
        <v>202</v>
      </c>
      <c r="C195" s="1">
        <v>0</v>
      </c>
      <c r="D195" s="1">
        <v>1</v>
      </c>
      <c r="E195" s="1">
        <v>0</v>
      </c>
      <c r="F195" s="1">
        <v>0</v>
      </c>
      <c r="G195" s="1">
        <v>1</v>
      </c>
      <c r="H195" s="1">
        <v>0</v>
      </c>
      <c r="I195" s="1">
        <v>0</v>
      </c>
      <c r="J195" s="1">
        <v>0</v>
      </c>
      <c r="K195" s="1">
        <v>0</v>
      </c>
      <c r="L195" s="1">
        <v>0</v>
      </c>
      <c r="M195" s="1">
        <v>1</v>
      </c>
      <c r="N195" s="1">
        <v>0</v>
      </c>
      <c r="O195" s="3">
        <v>3</v>
      </c>
      <c r="P195" s="1">
        <v>0</v>
      </c>
      <c r="Q195" s="1">
        <v>0</v>
      </c>
      <c r="R195" s="1">
        <v>0</v>
      </c>
      <c r="S195" s="1">
        <v>2</v>
      </c>
      <c r="T195" s="1">
        <v>2</v>
      </c>
      <c r="U195" s="1">
        <v>0</v>
      </c>
      <c r="V195" s="1">
        <v>1</v>
      </c>
      <c r="W195" s="1">
        <v>0</v>
      </c>
      <c r="X195" s="1">
        <v>2</v>
      </c>
      <c r="Y195" s="1">
        <v>7</v>
      </c>
      <c r="Z195" s="1">
        <v>1</v>
      </c>
      <c r="AA195" s="1">
        <v>2</v>
      </c>
      <c r="AB195" s="3">
        <v>17</v>
      </c>
      <c r="AC195" s="1">
        <v>8</v>
      </c>
      <c r="AD195" s="1">
        <v>1</v>
      </c>
      <c r="AE195" s="1">
        <v>6</v>
      </c>
      <c r="AF195" s="1">
        <v>1</v>
      </c>
      <c r="AG195" s="1">
        <v>3</v>
      </c>
      <c r="AH195" s="1">
        <v>10</v>
      </c>
      <c r="AI195" s="1">
        <v>5</v>
      </c>
      <c r="AJ195" s="1">
        <v>7</v>
      </c>
      <c r="AK195" s="1">
        <v>4</v>
      </c>
      <c r="AL195" s="1">
        <v>7</v>
      </c>
      <c r="AM195" s="1">
        <v>3</v>
      </c>
      <c r="AN195" s="1">
        <v>0</v>
      </c>
      <c r="AO195" s="3">
        <v>55</v>
      </c>
      <c r="AP195" s="1">
        <v>3</v>
      </c>
      <c r="AQ195" s="1">
        <v>6</v>
      </c>
      <c r="AR195" s="1">
        <v>5</v>
      </c>
      <c r="AS195" s="1">
        <v>10</v>
      </c>
      <c r="AT195" s="1">
        <v>6</v>
      </c>
      <c r="AU195" s="1">
        <v>2</v>
      </c>
      <c r="AV195" s="1">
        <v>10</v>
      </c>
      <c r="AW195" s="1">
        <v>7</v>
      </c>
      <c r="AX195" s="1">
        <v>8</v>
      </c>
      <c r="AY195" s="1">
        <v>6</v>
      </c>
      <c r="AZ195" s="1">
        <v>11</v>
      </c>
      <c r="BA195" s="1">
        <v>5</v>
      </c>
      <c r="BB195" s="3">
        <v>79</v>
      </c>
      <c r="BC195" s="1">
        <v>7</v>
      </c>
      <c r="BD195" s="1">
        <v>11</v>
      </c>
      <c r="BE195" s="1">
        <v>7</v>
      </c>
      <c r="BF195" s="1">
        <v>4</v>
      </c>
      <c r="BG195" s="1">
        <v>2</v>
      </c>
      <c r="BH195" s="1">
        <v>4</v>
      </c>
      <c r="BI195" s="1">
        <v>7</v>
      </c>
      <c r="BJ195" s="1">
        <v>8</v>
      </c>
      <c r="BK195" s="1">
        <v>3</v>
      </c>
      <c r="BL195" s="1">
        <v>5</v>
      </c>
      <c r="BM195" s="1">
        <v>4</v>
      </c>
      <c r="BN195" s="1">
        <v>3</v>
      </c>
      <c r="BO195" s="3">
        <v>65</v>
      </c>
      <c r="BP195" s="3">
        <f t="shared" si="3"/>
        <v>219</v>
      </c>
    </row>
    <row r="196" spans="1:69" x14ac:dyDescent="0.2">
      <c r="A196" s="3">
        <v>148</v>
      </c>
      <c r="B196" t="s">
        <v>203</v>
      </c>
      <c r="C196" s="1">
        <v>0</v>
      </c>
      <c r="D196" s="1">
        <v>1</v>
      </c>
      <c r="E196" s="1">
        <v>0</v>
      </c>
      <c r="F196" s="1">
        <v>0</v>
      </c>
      <c r="G196" s="1">
        <v>0</v>
      </c>
      <c r="H196" s="1">
        <v>0</v>
      </c>
      <c r="I196" s="1">
        <v>2</v>
      </c>
      <c r="J196" s="1">
        <v>0</v>
      </c>
      <c r="K196" s="1">
        <v>0</v>
      </c>
      <c r="L196" s="1">
        <v>0</v>
      </c>
      <c r="M196" s="1">
        <v>0</v>
      </c>
      <c r="N196" s="1">
        <v>2</v>
      </c>
      <c r="O196" s="3">
        <v>5</v>
      </c>
      <c r="P196" s="1">
        <v>2</v>
      </c>
      <c r="Q196" s="1">
        <v>3</v>
      </c>
      <c r="R196" s="1">
        <v>1</v>
      </c>
      <c r="S196" s="1">
        <v>4</v>
      </c>
      <c r="T196" s="1">
        <v>10</v>
      </c>
      <c r="U196" s="1">
        <v>10</v>
      </c>
      <c r="V196" s="1">
        <v>8</v>
      </c>
      <c r="W196" s="1">
        <v>8</v>
      </c>
      <c r="X196" s="1">
        <v>7</v>
      </c>
      <c r="Y196" s="1">
        <v>31</v>
      </c>
      <c r="Z196" s="1">
        <v>9</v>
      </c>
      <c r="AA196" s="1">
        <v>9</v>
      </c>
      <c r="AB196" s="3">
        <v>102</v>
      </c>
      <c r="AC196" s="1">
        <v>8</v>
      </c>
      <c r="AD196" s="1">
        <v>9</v>
      </c>
      <c r="AE196" s="1">
        <v>7</v>
      </c>
      <c r="AF196" s="1">
        <v>10</v>
      </c>
      <c r="AG196" s="1">
        <v>12</v>
      </c>
      <c r="AH196" s="1">
        <v>9</v>
      </c>
      <c r="AI196" s="1">
        <v>24</v>
      </c>
      <c r="AJ196" s="1">
        <v>8</v>
      </c>
      <c r="AK196" s="1">
        <v>16</v>
      </c>
      <c r="AL196" s="1">
        <v>12</v>
      </c>
      <c r="AM196" s="1">
        <v>11</v>
      </c>
      <c r="AN196" s="1">
        <v>8</v>
      </c>
      <c r="AO196" s="3">
        <v>134</v>
      </c>
      <c r="AP196" s="1">
        <v>9</v>
      </c>
      <c r="AQ196" s="1">
        <v>11</v>
      </c>
      <c r="AR196" s="1">
        <v>21</v>
      </c>
      <c r="AS196" s="1">
        <v>19</v>
      </c>
      <c r="AT196" s="1">
        <v>26</v>
      </c>
      <c r="AU196" s="1">
        <v>20</v>
      </c>
      <c r="AV196" s="1">
        <v>13</v>
      </c>
      <c r="AW196" s="1">
        <v>25</v>
      </c>
      <c r="AX196" s="1">
        <v>28</v>
      </c>
      <c r="AY196" s="1">
        <v>25</v>
      </c>
      <c r="AZ196" s="1">
        <v>19</v>
      </c>
      <c r="BA196" s="1">
        <v>16</v>
      </c>
      <c r="BB196" s="3">
        <v>232</v>
      </c>
      <c r="BC196" s="1">
        <v>12</v>
      </c>
      <c r="BD196" s="1">
        <v>11</v>
      </c>
      <c r="BE196" s="1">
        <v>15</v>
      </c>
      <c r="BF196" s="1">
        <v>20</v>
      </c>
      <c r="BG196" s="1">
        <v>19</v>
      </c>
      <c r="BH196" s="1">
        <v>16</v>
      </c>
      <c r="BI196" s="1">
        <v>18</v>
      </c>
      <c r="BJ196" s="1">
        <v>31</v>
      </c>
      <c r="BK196" s="1">
        <v>23</v>
      </c>
      <c r="BL196" s="1">
        <v>10</v>
      </c>
      <c r="BM196" s="1">
        <v>15</v>
      </c>
      <c r="BN196" s="1">
        <v>14</v>
      </c>
      <c r="BO196" s="3">
        <v>204</v>
      </c>
      <c r="BP196" s="3">
        <f t="shared" si="3"/>
        <v>677</v>
      </c>
    </row>
    <row r="197" spans="1:69" x14ac:dyDescent="0.2">
      <c r="A197" s="3">
        <v>149</v>
      </c>
      <c r="B197" t="s">
        <v>204</v>
      </c>
      <c r="C197" s="1">
        <v>0</v>
      </c>
      <c r="D197" s="1">
        <v>0</v>
      </c>
      <c r="E197" s="1">
        <v>0</v>
      </c>
      <c r="F197" s="1">
        <v>0</v>
      </c>
      <c r="G197" s="1">
        <v>0</v>
      </c>
      <c r="H197" s="1">
        <v>0</v>
      </c>
      <c r="I197" s="1">
        <v>0</v>
      </c>
      <c r="J197" s="1">
        <v>0</v>
      </c>
      <c r="K197" s="1">
        <v>0</v>
      </c>
      <c r="L197" s="1">
        <v>0</v>
      </c>
      <c r="M197" s="1">
        <v>0</v>
      </c>
      <c r="N197" s="1">
        <v>0</v>
      </c>
      <c r="O197" s="3">
        <v>0</v>
      </c>
      <c r="P197" s="1">
        <v>0</v>
      </c>
      <c r="Q197" s="1">
        <v>0</v>
      </c>
      <c r="R197" s="1">
        <v>0</v>
      </c>
      <c r="S197" s="1">
        <v>0</v>
      </c>
      <c r="T197" s="1">
        <v>3</v>
      </c>
      <c r="U197" s="1">
        <v>0</v>
      </c>
      <c r="V197" s="1">
        <v>0</v>
      </c>
      <c r="W197" s="1">
        <v>0</v>
      </c>
      <c r="X197" s="1">
        <v>1</v>
      </c>
      <c r="Y197" s="1">
        <v>0</v>
      </c>
      <c r="Z197" s="1">
        <v>1</v>
      </c>
      <c r="AA197" s="1">
        <v>1</v>
      </c>
      <c r="AB197" s="3">
        <v>6</v>
      </c>
      <c r="AC197" s="1">
        <v>1</v>
      </c>
      <c r="AD197" s="1">
        <v>0</v>
      </c>
      <c r="AE197" s="1">
        <v>2</v>
      </c>
      <c r="AF197" s="1">
        <v>1</v>
      </c>
      <c r="AG197" s="1">
        <v>3</v>
      </c>
      <c r="AH197" s="1">
        <v>2</v>
      </c>
      <c r="AI197" s="1">
        <v>3</v>
      </c>
      <c r="AJ197" s="1">
        <v>3</v>
      </c>
      <c r="AK197" s="1">
        <v>2</v>
      </c>
      <c r="AL197" s="1">
        <v>5</v>
      </c>
      <c r="AM197" s="1">
        <v>1</v>
      </c>
      <c r="AN197" s="1">
        <v>0</v>
      </c>
      <c r="AO197" s="3">
        <v>23</v>
      </c>
      <c r="AP197" s="1">
        <v>0</v>
      </c>
      <c r="AQ197" s="1">
        <v>1</v>
      </c>
      <c r="AR197" s="1">
        <v>2</v>
      </c>
      <c r="AS197" s="1">
        <v>4</v>
      </c>
      <c r="AT197" s="1">
        <v>4</v>
      </c>
      <c r="AU197" s="1">
        <v>0</v>
      </c>
      <c r="AV197" s="1">
        <v>2</v>
      </c>
      <c r="AW197" s="1">
        <v>0</v>
      </c>
      <c r="AX197" s="1">
        <v>0</v>
      </c>
      <c r="AY197" s="1">
        <v>5</v>
      </c>
      <c r="AZ197" s="1">
        <v>3</v>
      </c>
      <c r="BA197" s="1">
        <v>0</v>
      </c>
      <c r="BB197" s="3">
        <v>21</v>
      </c>
      <c r="BC197" s="1">
        <v>0</v>
      </c>
      <c r="BD197" s="1">
        <v>2</v>
      </c>
      <c r="BE197" s="1">
        <v>0</v>
      </c>
      <c r="BF197" s="1">
        <v>3</v>
      </c>
      <c r="BG197" s="1">
        <v>1</v>
      </c>
      <c r="BH197" s="1">
        <v>0</v>
      </c>
      <c r="BI197" s="1">
        <v>2</v>
      </c>
      <c r="BJ197" s="1">
        <v>0</v>
      </c>
      <c r="BK197" s="1">
        <v>0</v>
      </c>
      <c r="BL197" s="1">
        <v>1</v>
      </c>
      <c r="BM197" s="1">
        <v>2</v>
      </c>
      <c r="BN197" s="1">
        <v>0</v>
      </c>
      <c r="BO197" s="3">
        <v>11</v>
      </c>
      <c r="BP197" s="3">
        <f t="shared" si="3"/>
        <v>61</v>
      </c>
    </row>
    <row r="198" spans="1:69" x14ac:dyDescent="0.2">
      <c r="A198" s="3">
        <v>150</v>
      </c>
      <c r="B198" t="s">
        <v>205</v>
      </c>
      <c r="C198" s="1">
        <v>0</v>
      </c>
      <c r="D198" s="1">
        <v>0</v>
      </c>
      <c r="E198" s="1">
        <v>0</v>
      </c>
      <c r="F198" s="1">
        <v>0</v>
      </c>
      <c r="G198" s="1">
        <v>0</v>
      </c>
      <c r="H198" s="1">
        <v>0</v>
      </c>
      <c r="I198" s="1">
        <v>0</v>
      </c>
      <c r="J198" s="1">
        <v>0</v>
      </c>
      <c r="K198" s="1">
        <v>0</v>
      </c>
      <c r="L198" s="1">
        <v>0</v>
      </c>
      <c r="M198" s="1">
        <v>0</v>
      </c>
      <c r="N198" s="1">
        <v>0</v>
      </c>
      <c r="O198" s="3">
        <v>0</v>
      </c>
      <c r="P198" s="1">
        <v>0</v>
      </c>
      <c r="Q198" s="1">
        <v>0</v>
      </c>
      <c r="R198" s="1">
        <v>0</v>
      </c>
      <c r="S198" s="1">
        <v>0</v>
      </c>
      <c r="T198" s="1">
        <v>0</v>
      </c>
      <c r="U198" s="1">
        <v>0</v>
      </c>
      <c r="V198" s="1">
        <v>0</v>
      </c>
      <c r="W198" s="1">
        <v>0</v>
      </c>
      <c r="X198" s="1">
        <v>0</v>
      </c>
      <c r="Y198" s="1">
        <v>0</v>
      </c>
      <c r="Z198" s="1">
        <v>0</v>
      </c>
      <c r="AA198" s="1">
        <v>0</v>
      </c>
      <c r="AB198" s="3">
        <v>0</v>
      </c>
      <c r="AC198" s="1">
        <v>0</v>
      </c>
      <c r="AD198" s="1">
        <v>0</v>
      </c>
      <c r="AE198" s="1">
        <v>0</v>
      </c>
      <c r="AF198" s="1">
        <v>0</v>
      </c>
      <c r="AG198" s="1">
        <v>0</v>
      </c>
      <c r="AH198" s="1">
        <v>0</v>
      </c>
      <c r="AI198" s="1">
        <v>0</v>
      </c>
      <c r="AJ198" s="1">
        <v>0</v>
      </c>
      <c r="AK198" s="1">
        <v>0</v>
      </c>
      <c r="AL198" s="1">
        <v>0</v>
      </c>
      <c r="AM198" s="1">
        <v>0</v>
      </c>
      <c r="AN198" s="1">
        <v>0</v>
      </c>
      <c r="AO198" s="3">
        <v>0</v>
      </c>
      <c r="AP198" s="1">
        <v>0</v>
      </c>
      <c r="AQ198" s="1">
        <v>0</v>
      </c>
      <c r="AR198" s="1">
        <v>0</v>
      </c>
      <c r="AS198" s="1">
        <v>0</v>
      </c>
      <c r="AT198" s="1">
        <v>0</v>
      </c>
      <c r="AU198" s="1">
        <v>0</v>
      </c>
      <c r="AV198" s="1">
        <v>0</v>
      </c>
      <c r="AW198" s="1">
        <v>0</v>
      </c>
      <c r="AX198" s="1">
        <v>0</v>
      </c>
      <c r="AY198" s="1">
        <v>0</v>
      </c>
      <c r="AZ198" s="1">
        <v>0</v>
      </c>
      <c r="BA198" s="1">
        <v>0</v>
      </c>
      <c r="BB198" s="3">
        <v>0</v>
      </c>
      <c r="BC198" s="1">
        <v>0</v>
      </c>
      <c r="BD198" s="1">
        <v>0</v>
      </c>
      <c r="BE198" s="1">
        <v>0</v>
      </c>
      <c r="BF198" s="1">
        <v>0</v>
      </c>
      <c r="BG198" s="1">
        <v>0</v>
      </c>
      <c r="BH198" s="1">
        <v>0</v>
      </c>
      <c r="BI198" s="1">
        <v>0</v>
      </c>
      <c r="BJ198" s="1">
        <v>0</v>
      </c>
      <c r="BK198" s="1">
        <v>0</v>
      </c>
      <c r="BL198" s="1">
        <v>0</v>
      </c>
      <c r="BM198" s="1">
        <v>0</v>
      </c>
      <c r="BN198" s="1">
        <v>0</v>
      </c>
      <c r="BO198" s="3">
        <v>0</v>
      </c>
      <c r="BP198" s="3">
        <f t="shared" ref="BP198:BP261" si="4">SUM($BO198,$BB198,$AO198,$AB198,$O198)</f>
        <v>0</v>
      </c>
    </row>
    <row r="199" spans="1:69" x14ac:dyDescent="0.2">
      <c r="A199" s="3">
        <v>151</v>
      </c>
      <c r="B199" t="s">
        <v>206</v>
      </c>
      <c r="C199" s="1">
        <v>0</v>
      </c>
      <c r="D199" s="1">
        <v>0</v>
      </c>
      <c r="E199" s="1">
        <v>0</v>
      </c>
      <c r="F199" s="1">
        <v>0</v>
      </c>
      <c r="G199" s="1">
        <v>0</v>
      </c>
      <c r="H199" s="1">
        <v>0</v>
      </c>
      <c r="I199" s="1">
        <v>0</v>
      </c>
      <c r="J199" s="1">
        <v>0</v>
      </c>
      <c r="K199" s="1">
        <v>0</v>
      </c>
      <c r="L199" s="1">
        <v>0</v>
      </c>
      <c r="M199" s="1">
        <v>0</v>
      </c>
      <c r="N199" s="1">
        <v>0</v>
      </c>
      <c r="O199" s="3">
        <v>0</v>
      </c>
      <c r="P199" s="1">
        <v>0</v>
      </c>
      <c r="Q199" s="1">
        <v>0</v>
      </c>
      <c r="R199" s="1">
        <v>0</v>
      </c>
      <c r="S199" s="1">
        <v>0</v>
      </c>
      <c r="T199" s="1">
        <v>0</v>
      </c>
      <c r="U199" s="1">
        <v>0</v>
      </c>
      <c r="V199" s="1">
        <v>0</v>
      </c>
      <c r="W199" s="1">
        <v>0</v>
      </c>
      <c r="X199" s="1">
        <v>0</v>
      </c>
      <c r="Y199" s="1">
        <v>0</v>
      </c>
      <c r="Z199" s="1">
        <v>0</v>
      </c>
      <c r="AA199" s="1">
        <v>0</v>
      </c>
      <c r="AB199" s="3">
        <v>0</v>
      </c>
      <c r="AC199" s="1">
        <v>0</v>
      </c>
      <c r="AD199" s="1">
        <v>0</v>
      </c>
      <c r="AE199" s="1">
        <v>0</v>
      </c>
      <c r="AF199" s="1">
        <v>0</v>
      </c>
      <c r="AG199" s="1">
        <v>0</v>
      </c>
      <c r="AH199" s="1">
        <v>0</v>
      </c>
      <c r="AI199" s="1">
        <v>0</v>
      </c>
      <c r="AJ199" s="1">
        <v>0</v>
      </c>
      <c r="AK199" s="1">
        <v>0</v>
      </c>
      <c r="AL199" s="1">
        <v>0</v>
      </c>
      <c r="AM199" s="1">
        <v>0</v>
      </c>
      <c r="AN199" s="1">
        <v>0</v>
      </c>
      <c r="AO199" s="3">
        <v>0</v>
      </c>
      <c r="AP199" s="1">
        <v>0</v>
      </c>
      <c r="AQ199" s="1">
        <v>0</v>
      </c>
      <c r="AR199" s="1">
        <v>0</v>
      </c>
      <c r="AS199" s="1">
        <v>0</v>
      </c>
      <c r="AT199" s="1">
        <v>0</v>
      </c>
      <c r="AU199" s="1">
        <v>0</v>
      </c>
      <c r="AV199" s="1">
        <v>0</v>
      </c>
      <c r="AW199" s="1">
        <v>0</v>
      </c>
      <c r="AX199" s="1">
        <v>0</v>
      </c>
      <c r="AY199" s="1">
        <v>0</v>
      </c>
      <c r="AZ199" s="1">
        <v>0</v>
      </c>
      <c r="BA199" s="1">
        <v>0</v>
      </c>
      <c r="BB199" s="3">
        <v>0</v>
      </c>
      <c r="BC199" s="1">
        <v>0</v>
      </c>
      <c r="BD199" s="1">
        <v>0</v>
      </c>
      <c r="BE199" s="1">
        <v>0</v>
      </c>
      <c r="BF199" s="1">
        <v>0</v>
      </c>
      <c r="BG199" s="1">
        <v>0</v>
      </c>
      <c r="BH199" s="1">
        <v>0</v>
      </c>
      <c r="BI199" s="1">
        <v>0</v>
      </c>
      <c r="BJ199" s="1">
        <v>1</v>
      </c>
      <c r="BK199" s="1">
        <v>0</v>
      </c>
      <c r="BL199" s="1">
        <v>0</v>
      </c>
      <c r="BM199" s="1">
        <v>0</v>
      </c>
      <c r="BN199" s="1">
        <v>0</v>
      </c>
      <c r="BO199" s="3">
        <v>1</v>
      </c>
      <c r="BP199" s="3">
        <f t="shared" si="4"/>
        <v>1</v>
      </c>
    </row>
    <row r="200" spans="1:69" x14ac:dyDescent="0.2">
      <c r="A200" s="3">
        <v>152</v>
      </c>
      <c r="B200" t="s">
        <v>207</v>
      </c>
      <c r="C200" s="1">
        <v>0</v>
      </c>
      <c r="D200" s="1">
        <v>0</v>
      </c>
      <c r="E200" s="1">
        <v>0</v>
      </c>
      <c r="F200" s="1">
        <v>0</v>
      </c>
      <c r="G200" s="1">
        <v>0</v>
      </c>
      <c r="H200" s="1">
        <v>0</v>
      </c>
      <c r="I200" s="1">
        <v>0</v>
      </c>
      <c r="J200" s="1">
        <v>0</v>
      </c>
      <c r="K200" s="1">
        <v>0</v>
      </c>
      <c r="L200" s="1">
        <v>0</v>
      </c>
      <c r="M200" s="1">
        <v>0</v>
      </c>
      <c r="N200" s="1">
        <v>0</v>
      </c>
      <c r="O200" s="3">
        <v>0</v>
      </c>
      <c r="P200" s="1">
        <v>0</v>
      </c>
      <c r="Q200" s="1">
        <v>0</v>
      </c>
      <c r="R200" s="1">
        <v>0</v>
      </c>
      <c r="S200" s="1">
        <v>0</v>
      </c>
      <c r="T200" s="1">
        <v>0</v>
      </c>
      <c r="U200" s="1">
        <v>0</v>
      </c>
      <c r="V200" s="1">
        <v>0</v>
      </c>
      <c r="W200" s="1">
        <v>0</v>
      </c>
      <c r="X200" s="1">
        <v>0</v>
      </c>
      <c r="Y200" s="1">
        <v>0</v>
      </c>
      <c r="Z200" s="1">
        <v>0</v>
      </c>
      <c r="AA200" s="1">
        <v>0</v>
      </c>
      <c r="AB200" s="3">
        <v>0</v>
      </c>
      <c r="AC200" s="1">
        <v>0</v>
      </c>
      <c r="AD200" s="1">
        <v>0</v>
      </c>
      <c r="AE200" s="1">
        <v>0</v>
      </c>
      <c r="AF200" s="1">
        <v>0</v>
      </c>
      <c r="AG200" s="1">
        <v>0</v>
      </c>
      <c r="AH200" s="1">
        <v>0</v>
      </c>
      <c r="AI200" s="1">
        <v>0</v>
      </c>
      <c r="AJ200" s="1">
        <v>0</v>
      </c>
      <c r="AK200" s="1">
        <v>0</v>
      </c>
      <c r="AL200" s="1">
        <v>0</v>
      </c>
      <c r="AM200" s="1">
        <v>0</v>
      </c>
      <c r="AN200" s="1">
        <v>0</v>
      </c>
      <c r="AO200" s="3">
        <v>0</v>
      </c>
      <c r="AP200" s="1">
        <v>0</v>
      </c>
      <c r="AQ200" s="1">
        <v>0</v>
      </c>
      <c r="AR200" s="1">
        <v>0</v>
      </c>
      <c r="AS200" s="1">
        <v>0</v>
      </c>
      <c r="AT200" s="1">
        <v>0</v>
      </c>
      <c r="AU200" s="1">
        <v>0</v>
      </c>
      <c r="AV200" s="1">
        <v>0</v>
      </c>
      <c r="AW200" s="1">
        <v>0</v>
      </c>
      <c r="AX200" s="1">
        <v>0</v>
      </c>
      <c r="AY200" s="1">
        <v>0</v>
      </c>
      <c r="AZ200" s="1">
        <v>0</v>
      </c>
      <c r="BA200" s="1">
        <v>0</v>
      </c>
      <c r="BB200" s="3">
        <v>0</v>
      </c>
      <c r="BC200" s="1">
        <v>0</v>
      </c>
      <c r="BD200" s="1">
        <v>0</v>
      </c>
      <c r="BE200" s="1">
        <v>0</v>
      </c>
      <c r="BF200" s="1">
        <v>0</v>
      </c>
      <c r="BG200" s="1">
        <v>0</v>
      </c>
      <c r="BH200" s="1">
        <v>0</v>
      </c>
      <c r="BI200" s="1">
        <v>0</v>
      </c>
      <c r="BJ200" s="1">
        <v>0</v>
      </c>
      <c r="BK200" s="1">
        <v>0</v>
      </c>
      <c r="BL200" s="1">
        <v>0</v>
      </c>
      <c r="BM200" s="1">
        <v>0</v>
      </c>
      <c r="BN200" s="1">
        <v>0</v>
      </c>
      <c r="BO200" s="3">
        <v>0</v>
      </c>
      <c r="BP200" s="3">
        <f t="shared" si="4"/>
        <v>0</v>
      </c>
    </row>
    <row r="201" spans="1:69" x14ac:dyDescent="0.2">
      <c r="A201" s="3">
        <v>153</v>
      </c>
      <c r="B201" t="s">
        <v>208</v>
      </c>
      <c r="C201" s="1">
        <v>0</v>
      </c>
      <c r="D201" s="1">
        <v>0</v>
      </c>
      <c r="E201" s="1">
        <v>0</v>
      </c>
      <c r="F201" s="1">
        <v>0</v>
      </c>
      <c r="G201" s="1">
        <v>0</v>
      </c>
      <c r="H201" s="1">
        <v>0</v>
      </c>
      <c r="I201" s="1">
        <v>0</v>
      </c>
      <c r="J201" s="1">
        <v>0</v>
      </c>
      <c r="K201" s="1">
        <v>0</v>
      </c>
      <c r="L201" s="1">
        <v>0</v>
      </c>
      <c r="M201" s="1">
        <v>0</v>
      </c>
      <c r="N201" s="1">
        <v>0</v>
      </c>
      <c r="O201" s="3">
        <v>0</v>
      </c>
      <c r="P201" s="1">
        <v>0</v>
      </c>
      <c r="Q201" s="1">
        <v>0</v>
      </c>
      <c r="R201" s="1">
        <v>0</v>
      </c>
      <c r="S201" s="1">
        <v>0</v>
      </c>
      <c r="T201" s="1">
        <v>0</v>
      </c>
      <c r="U201" s="1">
        <v>0</v>
      </c>
      <c r="V201" s="1">
        <v>0</v>
      </c>
      <c r="W201" s="1">
        <v>0</v>
      </c>
      <c r="X201" s="1">
        <v>0</v>
      </c>
      <c r="Y201" s="1">
        <v>0</v>
      </c>
      <c r="Z201" s="1">
        <v>0</v>
      </c>
      <c r="AA201" s="1">
        <v>0</v>
      </c>
      <c r="AB201" s="3">
        <v>0</v>
      </c>
      <c r="AC201" s="1">
        <v>0</v>
      </c>
      <c r="AD201" s="1">
        <v>0</v>
      </c>
      <c r="AE201" s="1">
        <v>1</v>
      </c>
      <c r="AF201" s="1">
        <v>0</v>
      </c>
      <c r="AG201" s="1">
        <v>0</v>
      </c>
      <c r="AH201" s="1">
        <v>0</v>
      </c>
      <c r="AI201" s="1">
        <v>0</v>
      </c>
      <c r="AJ201" s="1">
        <v>0</v>
      </c>
      <c r="AK201" s="1">
        <v>1</v>
      </c>
      <c r="AL201" s="1">
        <v>1</v>
      </c>
      <c r="AM201" s="1">
        <v>0</v>
      </c>
      <c r="AN201" s="1">
        <v>1</v>
      </c>
      <c r="AO201" s="3">
        <v>4</v>
      </c>
      <c r="AP201" s="1">
        <v>0</v>
      </c>
      <c r="AQ201" s="1">
        <v>0</v>
      </c>
      <c r="AR201" s="1">
        <v>0</v>
      </c>
      <c r="AS201" s="1">
        <v>0</v>
      </c>
      <c r="AT201" s="1">
        <v>0</v>
      </c>
      <c r="AU201" s="1">
        <v>0</v>
      </c>
      <c r="AV201" s="1">
        <v>0</v>
      </c>
      <c r="AW201" s="1">
        <v>0</v>
      </c>
      <c r="AX201" s="1">
        <v>0</v>
      </c>
      <c r="AY201" s="1">
        <v>0</v>
      </c>
      <c r="AZ201" s="1">
        <v>0</v>
      </c>
      <c r="BA201" s="1">
        <v>0</v>
      </c>
      <c r="BB201" s="3">
        <v>0</v>
      </c>
      <c r="BC201" s="1">
        <v>0</v>
      </c>
      <c r="BD201" s="1">
        <v>0</v>
      </c>
      <c r="BE201" s="1">
        <v>0</v>
      </c>
      <c r="BF201" s="1">
        <v>0</v>
      </c>
      <c r="BG201" s="1">
        <v>0</v>
      </c>
      <c r="BH201" s="1">
        <v>0</v>
      </c>
      <c r="BI201" s="1">
        <v>0</v>
      </c>
      <c r="BJ201" s="1">
        <v>0</v>
      </c>
      <c r="BK201" s="1">
        <v>3</v>
      </c>
      <c r="BL201" s="1">
        <v>0</v>
      </c>
      <c r="BM201" s="1">
        <v>0</v>
      </c>
      <c r="BN201" s="1">
        <v>0</v>
      </c>
      <c r="BO201" s="3">
        <v>3</v>
      </c>
      <c r="BP201" s="3">
        <f t="shared" si="4"/>
        <v>7</v>
      </c>
    </row>
    <row r="202" spans="1:69" x14ac:dyDescent="0.2">
      <c r="A202" s="3">
        <v>154</v>
      </c>
      <c r="B202" t="s">
        <v>209</v>
      </c>
      <c r="C202" s="1">
        <v>0</v>
      </c>
      <c r="D202" s="1">
        <v>0</v>
      </c>
      <c r="E202" s="1">
        <v>0</v>
      </c>
      <c r="F202" s="1">
        <v>0</v>
      </c>
      <c r="G202" s="1">
        <v>0</v>
      </c>
      <c r="H202" s="1">
        <v>0</v>
      </c>
      <c r="I202" s="1">
        <v>0</v>
      </c>
      <c r="J202" s="1">
        <v>0</v>
      </c>
      <c r="K202" s="1">
        <v>0</v>
      </c>
      <c r="L202" s="1">
        <v>0</v>
      </c>
      <c r="M202" s="1">
        <v>0</v>
      </c>
      <c r="N202" s="1">
        <v>0</v>
      </c>
      <c r="O202" s="3">
        <v>0</v>
      </c>
      <c r="P202" s="1">
        <v>0</v>
      </c>
      <c r="Q202" s="1">
        <v>0</v>
      </c>
      <c r="R202" s="1">
        <v>0</v>
      </c>
      <c r="S202" s="1">
        <v>0</v>
      </c>
      <c r="T202" s="1">
        <v>0</v>
      </c>
      <c r="U202" s="1">
        <v>0</v>
      </c>
      <c r="V202" s="1">
        <v>0</v>
      </c>
      <c r="W202" s="1">
        <v>0</v>
      </c>
      <c r="X202" s="1">
        <v>0</v>
      </c>
      <c r="Y202" s="1">
        <v>0</v>
      </c>
      <c r="Z202" s="1">
        <v>0</v>
      </c>
      <c r="AA202" s="1">
        <v>0</v>
      </c>
      <c r="AB202" s="3">
        <v>0</v>
      </c>
      <c r="AC202" s="1">
        <v>0</v>
      </c>
      <c r="AD202" s="1">
        <v>0</v>
      </c>
      <c r="AE202" s="1">
        <v>0</v>
      </c>
      <c r="AF202" s="1">
        <v>0</v>
      </c>
      <c r="AG202" s="1">
        <v>0</v>
      </c>
      <c r="AH202" s="1">
        <v>0</v>
      </c>
      <c r="AI202" s="1">
        <v>0</v>
      </c>
      <c r="AJ202" s="1">
        <v>0</v>
      </c>
      <c r="AK202" s="1">
        <v>0</v>
      </c>
      <c r="AL202" s="1">
        <v>0</v>
      </c>
      <c r="AM202" s="1">
        <v>0</v>
      </c>
      <c r="AN202" s="1">
        <v>0</v>
      </c>
      <c r="AO202" s="3">
        <v>0</v>
      </c>
      <c r="AP202" s="1">
        <v>0</v>
      </c>
      <c r="AQ202" s="1">
        <v>0</v>
      </c>
      <c r="AR202" s="1">
        <v>0</v>
      </c>
      <c r="AS202" s="1">
        <v>0</v>
      </c>
      <c r="AT202" s="1">
        <v>0</v>
      </c>
      <c r="AU202" s="1">
        <v>0</v>
      </c>
      <c r="AV202" s="1">
        <v>0</v>
      </c>
      <c r="AW202" s="1">
        <v>0</v>
      </c>
      <c r="AX202" s="1">
        <v>0</v>
      </c>
      <c r="AY202" s="1">
        <v>0</v>
      </c>
      <c r="AZ202" s="1">
        <v>0</v>
      </c>
      <c r="BA202" s="1">
        <v>0</v>
      </c>
      <c r="BB202" s="3">
        <v>0</v>
      </c>
      <c r="BC202" s="1">
        <v>0</v>
      </c>
      <c r="BD202" s="1">
        <v>0</v>
      </c>
      <c r="BE202" s="1">
        <v>0</v>
      </c>
      <c r="BF202" s="1">
        <v>0</v>
      </c>
      <c r="BG202" s="1">
        <v>0</v>
      </c>
      <c r="BH202" s="1">
        <v>0</v>
      </c>
      <c r="BI202" s="1">
        <v>0</v>
      </c>
      <c r="BJ202" s="1">
        <v>0</v>
      </c>
      <c r="BK202" s="1">
        <v>0</v>
      </c>
      <c r="BL202" s="1">
        <v>0</v>
      </c>
      <c r="BM202" s="1">
        <v>0</v>
      </c>
      <c r="BN202" s="1">
        <v>0</v>
      </c>
      <c r="BO202" s="3">
        <v>0</v>
      </c>
      <c r="BP202" s="3">
        <f t="shared" si="4"/>
        <v>0</v>
      </c>
    </row>
    <row r="203" spans="1:69" x14ac:dyDescent="0.2">
      <c r="A203" s="3">
        <v>155</v>
      </c>
      <c r="B203" t="s">
        <v>210</v>
      </c>
      <c r="C203" s="1">
        <v>0</v>
      </c>
      <c r="D203" s="1">
        <v>0</v>
      </c>
      <c r="E203" s="1">
        <v>0</v>
      </c>
      <c r="F203" s="1">
        <v>0</v>
      </c>
      <c r="G203" s="1">
        <v>0</v>
      </c>
      <c r="H203" s="1">
        <v>0</v>
      </c>
      <c r="I203" s="1">
        <v>0</v>
      </c>
      <c r="J203" s="1">
        <v>0</v>
      </c>
      <c r="K203" s="1">
        <v>0</v>
      </c>
      <c r="L203" s="1">
        <v>0</v>
      </c>
      <c r="M203" s="1">
        <v>0</v>
      </c>
      <c r="N203" s="1">
        <v>0</v>
      </c>
      <c r="O203" s="3">
        <v>0</v>
      </c>
      <c r="P203" s="1">
        <v>0</v>
      </c>
      <c r="Q203" s="1">
        <v>0</v>
      </c>
      <c r="R203" s="1">
        <v>0</v>
      </c>
      <c r="S203" s="1">
        <v>0</v>
      </c>
      <c r="T203" s="1">
        <v>0</v>
      </c>
      <c r="U203" s="1">
        <v>0</v>
      </c>
      <c r="V203" s="1">
        <v>0</v>
      </c>
      <c r="W203" s="1">
        <v>0</v>
      </c>
      <c r="X203" s="1">
        <v>0</v>
      </c>
      <c r="Y203" s="1">
        <v>0</v>
      </c>
      <c r="Z203" s="1">
        <v>0</v>
      </c>
      <c r="AA203" s="1">
        <v>0</v>
      </c>
      <c r="AB203" s="3">
        <v>0</v>
      </c>
      <c r="AC203" s="1">
        <v>0</v>
      </c>
      <c r="AD203" s="1">
        <v>0</v>
      </c>
      <c r="AE203" s="1">
        <v>0</v>
      </c>
      <c r="AF203" s="1">
        <v>0</v>
      </c>
      <c r="AG203" s="1">
        <v>0</v>
      </c>
      <c r="AH203" s="1">
        <v>0</v>
      </c>
      <c r="AI203" s="1">
        <v>0</v>
      </c>
      <c r="AJ203" s="1">
        <v>0</v>
      </c>
      <c r="AK203" s="1">
        <v>0</v>
      </c>
      <c r="AL203" s="1">
        <v>0</v>
      </c>
      <c r="AM203" s="1">
        <v>0</v>
      </c>
      <c r="AN203" s="1">
        <v>0</v>
      </c>
      <c r="AO203" s="3">
        <v>0</v>
      </c>
      <c r="AP203" s="1">
        <v>0</v>
      </c>
      <c r="AQ203" s="1">
        <v>0</v>
      </c>
      <c r="AR203" s="1">
        <v>0</v>
      </c>
      <c r="AS203" s="1">
        <v>0</v>
      </c>
      <c r="AT203" s="1">
        <v>0</v>
      </c>
      <c r="AU203" s="1">
        <v>0</v>
      </c>
      <c r="AV203" s="1">
        <v>0</v>
      </c>
      <c r="AW203" s="1">
        <v>0</v>
      </c>
      <c r="AX203" s="1">
        <v>0</v>
      </c>
      <c r="AY203" s="1">
        <v>0</v>
      </c>
      <c r="AZ203" s="1">
        <v>0</v>
      </c>
      <c r="BA203" s="1">
        <v>0</v>
      </c>
      <c r="BB203" s="3">
        <v>0</v>
      </c>
      <c r="BC203" s="1">
        <v>0</v>
      </c>
      <c r="BD203" s="1">
        <v>0</v>
      </c>
      <c r="BE203" s="1">
        <v>0</v>
      </c>
      <c r="BF203" s="1">
        <v>0</v>
      </c>
      <c r="BG203" s="1">
        <v>0</v>
      </c>
      <c r="BH203" s="1">
        <v>0</v>
      </c>
      <c r="BI203" s="1">
        <v>0</v>
      </c>
      <c r="BJ203" s="1">
        <v>0</v>
      </c>
      <c r="BK203" s="1">
        <v>0</v>
      </c>
      <c r="BL203" s="1">
        <v>0</v>
      </c>
      <c r="BM203" s="1">
        <v>0</v>
      </c>
      <c r="BN203" s="1">
        <v>0</v>
      </c>
      <c r="BO203" s="3">
        <v>0</v>
      </c>
      <c r="BP203" s="3">
        <f t="shared" si="4"/>
        <v>0</v>
      </c>
    </row>
    <row r="204" spans="1:69" s="2" customFormat="1" x14ac:dyDescent="0.2">
      <c r="A204" s="3" t="s">
        <v>303</v>
      </c>
      <c r="B204" s="2" t="s">
        <v>211</v>
      </c>
      <c r="C204" s="3">
        <v>1469</v>
      </c>
      <c r="D204" s="3">
        <v>1787</v>
      </c>
      <c r="E204" s="3">
        <v>1442</v>
      </c>
      <c r="F204" s="3">
        <v>2140</v>
      </c>
      <c r="G204" s="3">
        <v>2491</v>
      </c>
      <c r="H204" s="3">
        <v>2533</v>
      </c>
      <c r="I204" s="3">
        <v>2713</v>
      </c>
      <c r="J204" s="3">
        <v>1802</v>
      </c>
      <c r="K204" s="3">
        <v>1500</v>
      </c>
      <c r="L204" s="3">
        <v>2443</v>
      </c>
      <c r="M204" s="3">
        <v>2752</v>
      </c>
      <c r="N204" s="3">
        <v>2001</v>
      </c>
      <c r="O204" s="3">
        <v>25073</v>
      </c>
      <c r="P204" s="3">
        <v>2433</v>
      </c>
      <c r="Q204" s="3">
        <v>2318</v>
      </c>
      <c r="R204" s="3">
        <v>4494</v>
      </c>
      <c r="S204" s="3">
        <v>9696</v>
      </c>
      <c r="T204" s="3">
        <v>17613</v>
      </c>
      <c r="U204" s="3">
        <v>25008</v>
      </c>
      <c r="V204" s="3">
        <v>30237</v>
      </c>
      <c r="W204" s="3">
        <v>30012</v>
      </c>
      <c r="X204" s="3">
        <v>31243</v>
      </c>
      <c r="Y204" s="3">
        <v>33798</v>
      </c>
      <c r="Z204" s="3">
        <v>34014</v>
      </c>
      <c r="AA204" s="3">
        <v>39229</v>
      </c>
      <c r="AB204" s="3">
        <v>260095</v>
      </c>
      <c r="AC204" s="3">
        <v>34576</v>
      </c>
      <c r="AD204" s="3">
        <v>39482</v>
      </c>
      <c r="AE204" s="3">
        <v>45595</v>
      </c>
      <c r="AF204" s="3">
        <v>46300</v>
      </c>
      <c r="AG204" s="3">
        <v>51234</v>
      </c>
      <c r="AH204" s="3">
        <v>52556</v>
      </c>
      <c r="AI204" s="3">
        <v>55192</v>
      </c>
      <c r="AJ204" s="3">
        <v>48790</v>
      </c>
      <c r="AK204" s="3">
        <v>51860</v>
      </c>
      <c r="AL204" s="3">
        <v>49821</v>
      </c>
      <c r="AM204" s="3">
        <v>44745</v>
      </c>
      <c r="AN204" s="3">
        <v>46732</v>
      </c>
      <c r="AO204" s="3">
        <v>566883</v>
      </c>
      <c r="AP204" s="3">
        <v>42041</v>
      </c>
      <c r="AQ204" s="3">
        <v>47355</v>
      </c>
      <c r="AR204" s="3">
        <v>56773</v>
      </c>
      <c r="AS204" s="3">
        <v>49878</v>
      </c>
      <c r="AT204" s="3">
        <v>53697</v>
      </c>
      <c r="AU204" s="3">
        <v>53055</v>
      </c>
      <c r="AV204" s="3">
        <v>56434</v>
      </c>
      <c r="AW204" s="3">
        <v>51243</v>
      </c>
      <c r="AX204" s="3">
        <v>49623</v>
      </c>
      <c r="AY204" s="3">
        <v>49507</v>
      </c>
      <c r="AZ204" s="3">
        <v>47049</v>
      </c>
      <c r="BA204" s="3">
        <v>46645</v>
      </c>
      <c r="BB204" s="3">
        <v>603300</v>
      </c>
      <c r="BC204" s="3">
        <v>45945</v>
      </c>
      <c r="BD204" s="3">
        <v>43026</v>
      </c>
      <c r="BE204" s="3">
        <v>51833</v>
      </c>
      <c r="BF204" s="3">
        <v>54318</v>
      </c>
      <c r="BG204" s="3">
        <v>53000</v>
      </c>
      <c r="BH204" s="3">
        <v>57866</v>
      </c>
      <c r="BI204" s="3">
        <v>57238</v>
      </c>
      <c r="BJ204" s="3">
        <v>50010</v>
      </c>
      <c r="BK204" s="3">
        <v>50741</v>
      </c>
      <c r="BL204" s="3">
        <v>51616</v>
      </c>
      <c r="BM204" s="3">
        <v>47910</v>
      </c>
      <c r="BN204" s="3">
        <v>52298</v>
      </c>
      <c r="BO204" s="3">
        <v>615801</v>
      </c>
      <c r="BP204" s="3"/>
      <c r="BQ204"/>
    </row>
    <row r="205" spans="1:69" x14ac:dyDescent="0.2">
      <c r="A205" s="3">
        <v>156</v>
      </c>
      <c r="B205" t="s">
        <v>212</v>
      </c>
      <c r="C205" s="1">
        <v>154</v>
      </c>
      <c r="D205" s="1">
        <v>220</v>
      </c>
      <c r="E205" s="1">
        <v>204</v>
      </c>
      <c r="F205" s="1">
        <v>300</v>
      </c>
      <c r="G205" s="1">
        <v>284</v>
      </c>
      <c r="H205" s="1">
        <v>302</v>
      </c>
      <c r="I205" s="1">
        <v>181</v>
      </c>
      <c r="J205" s="1">
        <v>71</v>
      </c>
      <c r="K205" s="1">
        <v>190</v>
      </c>
      <c r="L205" s="1">
        <v>261</v>
      </c>
      <c r="M205" s="1">
        <v>456</v>
      </c>
      <c r="N205" s="1">
        <v>573</v>
      </c>
      <c r="O205" s="3">
        <v>3196</v>
      </c>
      <c r="P205" s="1">
        <v>511</v>
      </c>
      <c r="Q205" s="1">
        <v>591</v>
      </c>
      <c r="R205" s="1">
        <v>2887</v>
      </c>
      <c r="S205" s="1">
        <v>15642</v>
      </c>
      <c r="T205" s="1">
        <v>34535</v>
      </c>
      <c r="U205" s="1">
        <v>64636</v>
      </c>
      <c r="V205" s="1">
        <v>84758</v>
      </c>
      <c r="W205" s="1">
        <v>84214</v>
      </c>
      <c r="X205" s="1">
        <v>92591</v>
      </c>
      <c r="Y205" s="1">
        <v>93105</v>
      </c>
      <c r="Z205" s="1">
        <v>79538</v>
      </c>
      <c r="AA205" s="1">
        <v>102362</v>
      </c>
      <c r="AB205" s="3">
        <v>655370</v>
      </c>
      <c r="AC205" s="1">
        <v>99578</v>
      </c>
      <c r="AD205" s="1">
        <v>84909</v>
      </c>
      <c r="AE205" s="1">
        <v>96333</v>
      </c>
      <c r="AF205" s="1">
        <v>109881</v>
      </c>
      <c r="AG205" s="1">
        <v>113863</v>
      </c>
      <c r="AH205" s="1">
        <v>132478</v>
      </c>
      <c r="AI205" s="1">
        <v>143062</v>
      </c>
      <c r="AJ205" s="1">
        <v>129063</v>
      </c>
      <c r="AK205" s="1">
        <v>140057</v>
      </c>
      <c r="AL205" s="1">
        <v>129008</v>
      </c>
      <c r="AM205" s="1">
        <v>117045</v>
      </c>
      <c r="AN205" s="1">
        <v>135900</v>
      </c>
      <c r="AO205" s="3">
        <v>1431177</v>
      </c>
      <c r="AP205" s="1">
        <v>127097</v>
      </c>
      <c r="AQ205" s="1">
        <v>102395</v>
      </c>
      <c r="AR205" s="1">
        <v>124149</v>
      </c>
      <c r="AS205" s="1">
        <v>127973</v>
      </c>
      <c r="AT205" s="1">
        <v>137200</v>
      </c>
      <c r="AU205" s="1">
        <v>144095</v>
      </c>
      <c r="AV205" s="1">
        <v>166921</v>
      </c>
      <c r="AW205" s="1">
        <v>153722</v>
      </c>
      <c r="AX205" s="1">
        <v>159308</v>
      </c>
      <c r="AY205" s="1">
        <v>150512</v>
      </c>
      <c r="AZ205" s="1">
        <v>129528</v>
      </c>
      <c r="BA205" s="1">
        <v>148266</v>
      </c>
      <c r="BB205" s="3">
        <v>1671166</v>
      </c>
      <c r="BC205" s="1">
        <v>145563</v>
      </c>
      <c r="BD205" s="1">
        <v>105389</v>
      </c>
      <c r="BE205" s="1">
        <v>111032</v>
      </c>
      <c r="BF205" s="1">
        <v>149694</v>
      </c>
      <c r="BG205" s="1">
        <v>147650</v>
      </c>
      <c r="BH205" s="1">
        <v>154220</v>
      </c>
      <c r="BI205" s="1">
        <v>173241</v>
      </c>
      <c r="BJ205" s="1">
        <v>155728</v>
      </c>
      <c r="BK205" s="1">
        <v>163526</v>
      </c>
      <c r="BL205" s="1">
        <v>158665</v>
      </c>
      <c r="BM205" s="1">
        <v>135215</v>
      </c>
      <c r="BN205" s="1">
        <v>154868</v>
      </c>
      <c r="BO205" s="3">
        <v>1754791</v>
      </c>
      <c r="BP205" s="3">
        <f t="shared" si="4"/>
        <v>5515700</v>
      </c>
    </row>
    <row r="206" spans="1:69" x14ac:dyDescent="0.2">
      <c r="A206" s="3">
        <v>157</v>
      </c>
      <c r="B206" t="s">
        <v>213</v>
      </c>
      <c r="C206" s="1">
        <v>3212</v>
      </c>
      <c r="D206" s="1">
        <v>2364</v>
      </c>
      <c r="E206" s="1">
        <v>2328</v>
      </c>
      <c r="F206" s="1">
        <v>2313</v>
      </c>
      <c r="G206" s="1">
        <v>1913</v>
      </c>
      <c r="H206" s="1">
        <v>1682</v>
      </c>
      <c r="I206" s="1">
        <v>2096</v>
      </c>
      <c r="J206" s="1">
        <v>2318</v>
      </c>
      <c r="K206" s="1">
        <v>2107</v>
      </c>
      <c r="L206" s="1">
        <v>3168</v>
      </c>
      <c r="M206" s="1">
        <v>3322</v>
      </c>
      <c r="N206" s="1">
        <v>4880</v>
      </c>
      <c r="O206" s="3">
        <v>31703</v>
      </c>
      <c r="P206" s="1">
        <v>2140</v>
      </c>
      <c r="Q206" s="1">
        <v>1245</v>
      </c>
      <c r="R206" s="1">
        <v>1692</v>
      </c>
      <c r="S206" s="1">
        <v>1700</v>
      </c>
      <c r="T206" s="1">
        <v>1441</v>
      </c>
      <c r="U206" s="1">
        <v>1629</v>
      </c>
      <c r="V206" s="1">
        <v>2020</v>
      </c>
      <c r="W206" s="1">
        <v>2172</v>
      </c>
      <c r="X206" s="1">
        <v>1791</v>
      </c>
      <c r="Y206" s="1">
        <v>2209</v>
      </c>
      <c r="Z206" s="1">
        <v>2507</v>
      </c>
      <c r="AA206" s="1">
        <v>1963</v>
      </c>
      <c r="AB206" s="3">
        <v>22509</v>
      </c>
      <c r="AC206" s="1">
        <v>1647</v>
      </c>
      <c r="AD206" s="1">
        <v>1108</v>
      </c>
      <c r="AE206" s="1">
        <v>832</v>
      </c>
      <c r="AF206" s="1">
        <v>208</v>
      </c>
      <c r="AG206" s="1">
        <v>8479</v>
      </c>
      <c r="AH206" s="1">
        <v>10212</v>
      </c>
      <c r="AI206" s="1">
        <v>8051</v>
      </c>
      <c r="AJ206" s="1">
        <v>8585</v>
      </c>
      <c r="AK206" s="1">
        <v>8757</v>
      </c>
      <c r="AL206" s="1">
        <v>10961</v>
      </c>
      <c r="AM206" s="1">
        <v>4606</v>
      </c>
      <c r="AN206" s="1">
        <v>13025</v>
      </c>
      <c r="AO206" s="3">
        <v>76471</v>
      </c>
      <c r="AP206" s="1">
        <v>9919</v>
      </c>
      <c r="AQ206" s="1">
        <v>7864</v>
      </c>
      <c r="AR206" s="1">
        <v>7054</v>
      </c>
      <c r="AS206" s="1">
        <v>7850</v>
      </c>
      <c r="AT206" s="1">
        <v>8039</v>
      </c>
      <c r="AU206" s="1">
        <v>9412</v>
      </c>
      <c r="AV206" s="1">
        <v>9661</v>
      </c>
      <c r="AW206" s="1">
        <v>10719</v>
      </c>
      <c r="AX206" s="1">
        <v>12754</v>
      </c>
      <c r="AY206" s="1">
        <v>12251</v>
      </c>
      <c r="AZ206" s="1">
        <v>12915</v>
      </c>
      <c r="BA206" s="1">
        <v>17038</v>
      </c>
      <c r="BB206" s="3">
        <v>125476</v>
      </c>
      <c r="BC206" s="1">
        <v>14420</v>
      </c>
      <c r="BD206" s="1">
        <v>12563</v>
      </c>
      <c r="BE206" s="1">
        <v>7578</v>
      </c>
      <c r="BF206" s="1">
        <v>11043</v>
      </c>
      <c r="BG206" s="1">
        <v>10655</v>
      </c>
      <c r="BH206" s="1">
        <v>12163</v>
      </c>
      <c r="BI206" s="1">
        <v>13502</v>
      </c>
      <c r="BJ206" s="1">
        <v>13157</v>
      </c>
      <c r="BK206" s="1">
        <v>14430</v>
      </c>
      <c r="BL206" s="1">
        <v>13007</v>
      </c>
      <c r="BM206" s="1">
        <v>13175</v>
      </c>
      <c r="BN206" s="1">
        <v>20445</v>
      </c>
      <c r="BO206" s="3">
        <v>156138</v>
      </c>
      <c r="BP206" s="3">
        <f t="shared" si="4"/>
        <v>412297</v>
      </c>
    </row>
    <row r="207" spans="1:69" x14ac:dyDescent="0.2">
      <c r="A207" s="3">
        <v>158</v>
      </c>
      <c r="B207" t="s">
        <v>214</v>
      </c>
      <c r="C207" s="1">
        <v>9</v>
      </c>
      <c r="D207" s="1">
        <v>34</v>
      </c>
      <c r="E207" s="1">
        <v>21</v>
      </c>
      <c r="F207" s="1">
        <v>63</v>
      </c>
      <c r="G207" s="1">
        <v>56</v>
      </c>
      <c r="H207" s="1">
        <v>62</v>
      </c>
      <c r="I207" s="1">
        <v>24</v>
      </c>
      <c r="J207" s="1">
        <v>7</v>
      </c>
      <c r="K207" s="1">
        <v>21</v>
      </c>
      <c r="L207" s="1">
        <v>59</v>
      </c>
      <c r="M207" s="1">
        <v>53</v>
      </c>
      <c r="N207" s="1">
        <v>73</v>
      </c>
      <c r="O207" s="3">
        <v>482</v>
      </c>
      <c r="P207" s="1">
        <v>48</v>
      </c>
      <c r="Q207" s="1">
        <v>82</v>
      </c>
      <c r="R207" s="1">
        <v>241</v>
      </c>
      <c r="S207" s="1">
        <v>924</v>
      </c>
      <c r="T207" s="1">
        <v>2075</v>
      </c>
      <c r="U207" s="1">
        <v>3622</v>
      </c>
      <c r="V207" s="1">
        <v>5945</v>
      </c>
      <c r="W207" s="1">
        <v>6721</v>
      </c>
      <c r="X207" s="1">
        <v>5687</v>
      </c>
      <c r="Y207" s="1">
        <v>6926</v>
      </c>
      <c r="Z207" s="1">
        <v>5842</v>
      </c>
      <c r="AA207" s="1">
        <v>6012</v>
      </c>
      <c r="AB207" s="3">
        <v>44125</v>
      </c>
      <c r="AC207" s="1">
        <v>4947</v>
      </c>
      <c r="AD207" s="1">
        <v>5472</v>
      </c>
      <c r="AE207" s="1">
        <v>6514</v>
      </c>
      <c r="AF207" s="1">
        <v>8931</v>
      </c>
      <c r="AG207" s="1">
        <v>10468</v>
      </c>
      <c r="AH207" s="1">
        <v>12337</v>
      </c>
      <c r="AI207" s="1">
        <v>14647</v>
      </c>
      <c r="AJ207" s="1">
        <v>13300</v>
      </c>
      <c r="AK207" s="1">
        <v>12176</v>
      </c>
      <c r="AL207" s="1">
        <v>11053</v>
      </c>
      <c r="AM207" s="1">
        <v>8243</v>
      </c>
      <c r="AN207" s="1">
        <v>8515</v>
      </c>
      <c r="AO207" s="3">
        <v>116603</v>
      </c>
      <c r="AP207" s="1">
        <v>6966</v>
      </c>
      <c r="AQ207" s="1">
        <v>6996</v>
      </c>
      <c r="AR207" s="1">
        <v>8545</v>
      </c>
      <c r="AS207" s="1">
        <v>12576</v>
      </c>
      <c r="AT207" s="1">
        <v>13426</v>
      </c>
      <c r="AU207" s="1">
        <v>15626</v>
      </c>
      <c r="AV207" s="1">
        <v>20567</v>
      </c>
      <c r="AW207" s="1">
        <v>18707</v>
      </c>
      <c r="AX207" s="1">
        <v>16625</v>
      </c>
      <c r="AY207" s="1">
        <v>16015</v>
      </c>
      <c r="AZ207" s="1">
        <v>11306</v>
      </c>
      <c r="BA207" s="1">
        <v>11850</v>
      </c>
      <c r="BB207" s="3">
        <v>159205</v>
      </c>
      <c r="BC207" s="1">
        <v>10250</v>
      </c>
      <c r="BD207" s="1">
        <v>8657</v>
      </c>
      <c r="BE207" s="1">
        <v>10369</v>
      </c>
      <c r="BF207" s="1">
        <v>14955</v>
      </c>
      <c r="BG207" s="1">
        <v>16199</v>
      </c>
      <c r="BH207" s="1">
        <v>20743</v>
      </c>
      <c r="BI207" s="1">
        <v>19368</v>
      </c>
      <c r="BJ207" s="1">
        <v>19930</v>
      </c>
      <c r="BK207" s="1">
        <v>19362</v>
      </c>
      <c r="BL207" s="1">
        <v>15929</v>
      </c>
      <c r="BM207" s="1">
        <v>12295</v>
      </c>
      <c r="BN207" s="1">
        <v>13024</v>
      </c>
      <c r="BO207" s="3">
        <v>181081</v>
      </c>
      <c r="BP207" s="3">
        <f t="shared" si="4"/>
        <v>501496</v>
      </c>
    </row>
    <row r="208" spans="1:69" x14ac:dyDescent="0.2">
      <c r="A208" s="3">
        <v>159</v>
      </c>
      <c r="B208" t="s">
        <v>215</v>
      </c>
      <c r="C208" s="1">
        <v>1</v>
      </c>
      <c r="D208" s="1">
        <v>3</v>
      </c>
      <c r="E208" s="1">
        <v>6</v>
      </c>
      <c r="F208" s="1">
        <v>17</v>
      </c>
      <c r="G208" s="1">
        <v>9</v>
      </c>
      <c r="H208" s="1">
        <v>10</v>
      </c>
      <c r="I208" s="1">
        <v>8</v>
      </c>
      <c r="J208" s="1">
        <v>2</v>
      </c>
      <c r="K208" s="1">
        <v>1</v>
      </c>
      <c r="L208" s="1">
        <v>6</v>
      </c>
      <c r="M208" s="1">
        <v>7</v>
      </c>
      <c r="N208" s="1">
        <v>53</v>
      </c>
      <c r="O208" s="3">
        <v>123</v>
      </c>
      <c r="P208" s="1">
        <v>15</v>
      </c>
      <c r="Q208" s="1">
        <v>6</v>
      </c>
      <c r="R208" s="1">
        <v>9</v>
      </c>
      <c r="S208" s="1">
        <v>15</v>
      </c>
      <c r="T208" s="1">
        <v>52</v>
      </c>
      <c r="U208" s="1">
        <v>38</v>
      </c>
      <c r="V208" s="1">
        <v>50</v>
      </c>
      <c r="W208" s="1">
        <v>44</v>
      </c>
      <c r="X208" s="1">
        <v>45</v>
      </c>
      <c r="Y208" s="1">
        <v>60</v>
      </c>
      <c r="Z208" s="1">
        <v>86</v>
      </c>
      <c r="AA208" s="1">
        <v>100</v>
      </c>
      <c r="AB208" s="3">
        <v>520</v>
      </c>
      <c r="AC208" s="1">
        <v>161</v>
      </c>
      <c r="AD208" s="1">
        <v>92</v>
      </c>
      <c r="AE208" s="1">
        <v>136</v>
      </c>
      <c r="AF208" s="1">
        <v>89</v>
      </c>
      <c r="AG208" s="1">
        <v>162</v>
      </c>
      <c r="AH208" s="1">
        <v>87</v>
      </c>
      <c r="AI208" s="1">
        <v>96</v>
      </c>
      <c r="AJ208" s="1">
        <v>93</v>
      </c>
      <c r="AK208" s="1">
        <v>109</v>
      </c>
      <c r="AL208" s="1">
        <v>192</v>
      </c>
      <c r="AM208" s="1">
        <v>124</v>
      </c>
      <c r="AN208" s="1">
        <v>168</v>
      </c>
      <c r="AO208" s="3">
        <v>1509</v>
      </c>
      <c r="AP208" s="1">
        <v>107</v>
      </c>
      <c r="AQ208" s="1">
        <v>96</v>
      </c>
      <c r="AR208" s="1">
        <v>132</v>
      </c>
      <c r="AS208" s="1">
        <v>112</v>
      </c>
      <c r="AT208" s="1">
        <v>196</v>
      </c>
      <c r="AU208" s="1">
        <v>147</v>
      </c>
      <c r="AV208" s="1">
        <v>164</v>
      </c>
      <c r="AW208" s="1">
        <v>141</v>
      </c>
      <c r="AX208" s="1">
        <v>185</v>
      </c>
      <c r="AY208" s="1">
        <v>157</v>
      </c>
      <c r="AZ208" s="1">
        <v>134</v>
      </c>
      <c r="BA208" s="1">
        <v>225</v>
      </c>
      <c r="BB208" s="3">
        <v>1796</v>
      </c>
      <c r="BC208" s="1">
        <v>171</v>
      </c>
      <c r="BD208" s="1">
        <v>149</v>
      </c>
      <c r="BE208" s="1">
        <v>140</v>
      </c>
      <c r="BF208" s="1">
        <v>208</v>
      </c>
      <c r="BG208" s="1">
        <v>238</v>
      </c>
      <c r="BH208" s="1">
        <v>157</v>
      </c>
      <c r="BI208" s="1">
        <v>117</v>
      </c>
      <c r="BJ208" s="1">
        <v>157</v>
      </c>
      <c r="BK208" s="1">
        <v>197</v>
      </c>
      <c r="BL208" s="1">
        <v>312</v>
      </c>
      <c r="BM208" s="1">
        <v>346</v>
      </c>
      <c r="BN208" s="1">
        <v>238</v>
      </c>
      <c r="BO208" s="3">
        <v>2430</v>
      </c>
      <c r="BP208" s="3">
        <f t="shared" si="4"/>
        <v>6378</v>
      </c>
    </row>
    <row r="209" spans="1:68" x14ac:dyDescent="0.2">
      <c r="A209" s="3">
        <v>160</v>
      </c>
      <c r="B209" t="s">
        <v>216</v>
      </c>
      <c r="C209" s="1">
        <v>1</v>
      </c>
      <c r="D209" s="1">
        <v>1</v>
      </c>
      <c r="E209" s="1">
        <v>1</v>
      </c>
      <c r="F209" s="1">
        <v>1</v>
      </c>
      <c r="G209" s="1">
        <v>1</v>
      </c>
      <c r="H209" s="1">
        <v>0</v>
      </c>
      <c r="I209" s="1">
        <v>0</v>
      </c>
      <c r="J209" s="1">
        <v>2</v>
      </c>
      <c r="K209" s="1">
        <v>0</v>
      </c>
      <c r="L209" s="1">
        <v>6</v>
      </c>
      <c r="M209" s="1">
        <v>5</v>
      </c>
      <c r="N209" s="1">
        <v>0</v>
      </c>
      <c r="O209" s="3">
        <v>18</v>
      </c>
      <c r="P209" s="1">
        <v>11</v>
      </c>
      <c r="Q209" s="1">
        <v>2</v>
      </c>
      <c r="R209" s="1">
        <v>7</v>
      </c>
      <c r="S209" s="1">
        <v>9</v>
      </c>
      <c r="T209" s="1">
        <v>36</v>
      </c>
      <c r="U209" s="1">
        <v>23</v>
      </c>
      <c r="V209" s="1">
        <v>37</v>
      </c>
      <c r="W209" s="1">
        <v>26</v>
      </c>
      <c r="X209" s="1">
        <v>29</v>
      </c>
      <c r="Y209" s="1">
        <v>42</v>
      </c>
      <c r="Z209" s="1">
        <v>56</v>
      </c>
      <c r="AA209" s="1">
        <v>57</v>
      </c>
      <c r="AB209" s="3">
        <v>335</v>
      </c>
      <c r="AC209" s="1">
        <v>85</v>
      </c>
      <c r="AD209" s="1">
        <v>65</v>
      </c>
      <c r="AE209" s="1">
        <v>62</v>
      </c>
      <c r="AF209" s="1">
        <v>35</v>
      </c>
      <c r="AG209" s="1">
        <v>63</v>
      </c>
      <c r="AH209" s="1">
        <v>56</v>
      </c>
      <c r="AI209" s="1">
        <v>57</v>
      </c>
      <c r="AJ209" s="1">
        <v>61</v>
      </c>
      <c r="AK209" s="1">
        <v>74</v>
      </c>
      <c r="AL209" s="1">
        <v>86</v>
      </c>
      <c r="AM209" s="1">
        <v>63</v>
      </c>
      <c r="AN209" s="1">
        <v>115</v>
      </c>
      <c r="AO209" s="3">
        <v>822</v>
      </c>
      <c r="AP209" s="1">
        <v>66</v>
      </c>
      <c r="AQ209" s="1">
        <v>66</v>
      </c>
      <c r="AR209" s="1">
        <v>104</v>
      </c>
      <c r="AS209" s="1">
        <v>75</v>
      </c>
      <c r="AT209" s="1">
        <v>120</v>
      </c>
      <c r="AU209" s="1">
        <v>72</v>
      </c>
      <c r="AV209" s="1">
        <v>88</v>
      </c>
      <c r="AW209" s="1">
        <v>89</v>
      </c>
      <c r="AX209" s="1">
        <v>124</v>
      </c>
      <c r="AY209" s="1">
        <v>90</v>
      </c>
      <c r="AZ209" s="1">
        <v>105</v>
      </c>
      <c r="BA209" s="1">
        <v>152</v>
      </c>
      <c r="BB209" s="3">
        <v>1151</v>
      </c>
      <c r="BC209" s="1">
        <v>100</v>
      </c>
      <c r="BD209" s="1">
        <v>100</v>
      </c>
      <c r="BE209" s="1">
        <v>95</v>
      </c>
      <c r="BF209" s="1">
        <v>132</v>
      </c>
      <c r="BG209" s="1">
        <v>186</v>
      </c>
      <c r="BH209" s="1">
        <v>104</v>
      </c>
      <c r="BI209" s="1">
        <v>81</v>
      </c>
      <c r="BJ209" s="1">
        <v>116</v>
      </c>
      <c r="BK209" s="1">
        <v>142</v>
      </c>
      <c r="BL209" s="1">
        <v>198</v>
      </c>
      <c r="BM209" s="1">
        <v>212</v>
      </c>
      <c r="BN209" s="1">
        <v>164</v>
      </c>
      <c r="BO209" s="3">
        <v>1630</v>
      </c>
      <c r="BP209" s="3">
        <f t="shared" si="4"/>
        <v>3956</v>
      </c>
    </row>
    <row r="210" spans="1:68" x14ac:dyDescent="0.2">
      <c r="A210" s="3">
        <v>161</v>
      </c>
      <c r="B210" t="s">
        <v>217</v>
      </c>
      <c r="C210" s="1">
        <v>0</v>
      </c>
      <c r="D210" s="1">
        <v>0</v>
      </c>
      <c r="E210" s="1">
        <v>0</v>
      </c>
      <c r="F210" s="1">
        <v>6</v>
      </c>
      <c r="G210" s="1">
        <v>2</v>
      </c>
      <c r="H210" s="1">
        <v>5</v>
      </c>
      <c r="I210" s="1">
        <v>0</v>
      </c>
      <c r="J210" s="1">
        <v>0</v>
      </c>
      <c r="K210" s="1">
        <v>0</v>
      </c>
      <c r="L210" s="1">
        <v>0</v>
      </c>
      <c r="M210" s="1">
        <v>1</v>
      </c>
      <c r="N210" s="1">
        <v>0</v>
      </c>
      <c r="O210" s="3">
        <v>14</v>
      </c>
      <c r="P210" s="1">
        <v>0</v>
      </c>
      <c r="Q210" s="1">
        <v>1</v>
      </c>
      <c r="R210" s="1">
        <v>1</v>
      </c>
      <c r="S210" s="1">
        <v>1</v>
      </c>
      <c r="T210" s="1">
        <v>3</v>
      </c>
      <c r="U210" s="1">
        <v>7</v>
      </c>
      <c r="V210" s="1">
        <v>6</v>
      </c>
      <c r="W210" s="1">
        <v>6</v>
      </c>
      <c r="X210" s="1">
        <v>7</v>
      </c>
      <c r="Y210" s="1">
        <v>6</v>
      </c>
      <c r="Z210" s="1">
        <v>9</v>
      </c>
      <c r="AA210" s="1">
        <v>13</v>
      </c>
      <c r="AB210" s="3">
        <v>60</v>
      </c>
      <c r="AC210" s="1">
        <v>4</v>
      </c>
      <c r="AD210" s="1">
        <v>9</v>
      </c>
      <c r="AE210" s="1">
        <v>14</v>
      </c>
      <c r="AF210" s="1">
        <v>10</v>
      </c>
      <c r="AG210" s="1">
        <v>23</v>
      </c>
      <c r="AH210" s="1">
        <v>14</v>
      </c>
      <c r="AI210" s="1">
        <v>11</v>
      </c>
      <c r="AJ210" s="1">
        <v>10</v>
      </c>
      <c r="AK210" s="1">
        <v>8</v>
      </c>
      <c r="AL210" s="1">
        <v>14</v>
      </c>
      <c r="AM210" s="1">
        <v>22</v>
      </c>
      <c r="AN210" s="1">
        <v>20</v>
      </c>
      <c r="AO210" s="3">
        <v>159</v>
      </c>
      <c r="AP210" s="1">
        <v>7</v>
      </c>
      <c r="AQ210" s="1">
        <v>6</v>
      </c>
      <c r="AR210" s="1">
        <v>5</v>
      </c>
      <c r="AS210" s="1">
        <v>11</v>
      </c>
      <c r="AT210" s="1">
        <v>18</v>
      </c>
      <c r="AU210" s="1">
        <v>23</v>
      </c>
      <c r="AV210" s="1">
        <v>18</v>
      </c>
      <c r="AW210" s="1">
        <v>18</v>
      </c>
      <c r="AX210" s="1">
        <v>19</v>
      </c>
      <c r="AY210" s="1">
        <v>21</v>
      </c>
      <c r="AZ210" s="1">
        <v>6</v>
      </c>
      <c r="BA210" s="1">
        <v>7</v>
      </c>
      <c r="BB210" s="3">
        <v>159</v>
      </c>
      <c r="BC210" s="1">
        <v>16</v>
      </c>
      <c r="BD210" s="1">
        <v>18</v>
      </c>
      <c r="BE210" s="1">
        <v>14</v>
      </c>
      <c r="BF210" s="1">
        <v>30</v>
      </c>
      <c r="BG210" s="1">
        <v>10</v>
      </c>
      <c r="BH210" s="1">
        <v>11</v>
      </c>
      <c r="BI210" s="1">
        <v>10</v>
      </c>
      <c r="BJ210" s="1">
        <v>11</v>
      </c>
      <c r="BK210" s="1">
        <v>17</v>
      </c>
      <c r="BL210" s="1">
        <v>43</v>
      </c>
      <c r="BM210" s="1">
        <v>27</v>
      </c>
      <c r="BN210" s="1">
        <v>34</v>
      </c>
      <c r="BO210" s="3">
        <v>241</v>
      </c>
      <c r="BP210" s="3">
        <f t="shared" si="4"/>
        <v>633</v>
      </c>
    </row>
    <row r="211" spans="1:68" x14ac:dyDescent="0.2">
      <c r="A211" s="3">
        <v>162</v>
      </c>
      <c r="B211" t="s">
        <v>218</v>
      </c>
      <c r="C211" s="1">
        <v>0</v>
      </c>
      <c r="D211" s="1">
        <v>1</v>
      </c>
      <c r="E211" s="1">
        <v>0</v>
      </c>
      <c r="F211" s="1">
        <v>0</v>
      </c>
      <c r="G211" s="1">
        <v>0</v>
      </c>
      <c r="H211" s="1">
        <v>0</v>
      </c>
      <c r="I211" s="1">
        <v>6</v>
      </c>
      <c r="J211" s="1">
        <v>0</v>
      </c>
      <c r="K211" s="1">
        <v>0</v>
      </c>
      <c r="L211" s="1">
        <v>0</v>
      </c>
      <c r="M211" s="1">
        <v>0</v>
      </c>
      <c r="N211" s="1">
        <v>1</v>
      </c>
      <c r="O211" s="3">
        <v>8</v>
      </c>
      <c r="P211" s="1">
        <v>0</v>
      </c>
      <c r="Q211" s="1">
        <v>0</v>
      </c>
      <c r="R211" s="1">
        <v>0</v>
      </c>
      <c r="S211" s="1">
        <v>0</v>
      </c>
      <c r="T211" s="1">
        <v>2</v>
      </c>
      <c r="U211" s="1">
        <v>2</v>
      </c>
      <c r="V211" s="1">
        <v>3</v>
      </c>
      <c r="W211" s="1">
        <v>3</v>
      </c>
      <c r="X211" s="1">
        <v>0</v>
      </c>
      <c r="Y211" s="1">
        <v>1</v>
      </c>
      <c r="Z211" s="1">
        <v>2</v>
      </c>
      <c r="AA211" s="1">
        <v>5</v>
      </c>
      <c r="AB211" s="3">
        <v>18</v>
      </c>
      <c r="AC211" s="1">
        <v>5</v>
      </c>
      <c r="AD211" s="1">
        <v>2</v>
      </c>
      <c r="AE211" s="1">
        <v>1</v>
      </c>
      <c r="AF211" s="1">
        <v>2</v>
      </c>
      <c r="AG211" s="1">
        <v>12</v>
      </c>
      <c r="AH211" s="1">
        <v>2</v>
      </c>
      <c r="AI211" s="1">
        <v>2</v>
      </c>
      <c r="AJ211" s="1">
        <v>4</v>
      </c>
      <c r="AK211" s="1">
        <v>5</v>
      </c>
      <c r="AL211" s="1">
        <v>17</v>
      </c>
      <c r="AM211" s="1">
        <v>12</v>
      </c>
      <c r="AN211" s="1">
        <v>5</v>
      </c>
      <c r="AO211" s="3">
        <v>69</v>
      </c>
      <c r="AP211" s="1">
        <v>3</v>
      </c>
      <c r="AQ211" s="1">
        <v>4</v>
      </c>
      <c r="AR211" s="1">
        <v>6</v>
      </c>
      <c r="AS211" s="1">
        <v>5</v>
      </c>
      <c r="AT211" s="1">
        <v>4</v>
      </c>
      <c r="AU211" s="1">
        <v>12</v>
      </c>
      <c r="AV211" s="1">
        <v>14</v>
      </c>
      <c r="AW211" s="1">
        <v>7</v>
      </c>
      <c r="AX211" s="1">
        <v>18</v>
      </c>
      <c r="AY211" s="1">
        <v>18</v>
      </c>
      <c r="AZ211" s="1">
        <v>9</v>
      </c>
      <c r="BA211" s="1">
        <v>9</v>
      </c>
      <c r="BB211" s="3">
        <v>109</v>
      </c>
      <c r="BC211" s="1">
        <v>9</v>
      </c>
      <c r="BD211" s="1">
        <v>5</v>
      </c>
      <c r="BE211" s="1">
        <v>3</v>
      </c>
      <c r="BF211" s="1">
        <v>8</v>
      </c>
      <c r="BG211" s="1">
        <v>7</v>
      </c>
      <c r="BH211" s="1">
        <v>13</v>
      </c>
      <c r="BI211" s="1">
        <v>8</v>
      </c>
      <c r="BJ211" s="1">
        <v>6</v>
      </c>
      <c r="BK211" s="1">
        <v>11</v>
      </c>
      <c r="BL211" s="1">
        <v>13</v>
      </c>
      <c r="BM211" s="1">
        <v>26</v>
      </c>
      <c r="BN211" s="1">
        <v>7</v>
      </c>
      <c r="BO211" s="3">
        <v>116</v>
      </c>
      <c r="BP211" s="3">
        <f t="shared" si="4"/>
        <v>320</v>
      </c>
    </row>
    <row r="212" spans="1:68" x14ac:dyDescent="0.2">
      <c r="A212" s="3">
        <v>163</v>
      </c>
      <c r="B212" t="s">
        <v>219</v>
      </c>
      <c r="C212" s="1">
        <v>0</v>
      </c>
      <c r="D212" s="1">
        <v>1</v>
      </c>
      <c r="E212" s="1">
        <v>0</v>
      </c>
      <c r="F212" s="1">
        <v>0</v>
      </c>
      <c r="G212" s="1">
        <v>0</v>
      </c>
      <c r="H212" s="1">
        <v>2</v>
      </c>
      <c r="I212" s="1">
        <v>1</v>
      </c>
      <c r="J212" s="1">
        <v>0</v>
      </c>
      <c r="K212" s="1">
        <v>0</v>
      </c>
      <c r="L212" s="1">
        <v>0</v>
      </c>
      <c r="M212" s="1">
        <v>0</v>
      </c>
      <c r="N212" s="1">
        <v>52</v>
      </c>
      <c r="O212" s="3">
        <v>56</v>
      </c>
      <c r="P212" s="1">
        <v>2</v>
      </c>
      <c r="Q212" s="1">
        <v>3</v>
      </c>
      <c r="R212" s="1">
        <v>1</v>
      </c>
      <c r="S212" s="1">
        <v>4</v>
      </c>
      <c r="T212" s="1">
        <v>3</v>
      </c>
      <c r="U212" s="1">
        <v>5</v>
      </c>
      <c r="V212" s="1">
        <v>2</v>
      </c>
      <c r="W212" s="1">
        <v>6</v>
      </c>
      <c r="X212" s="1">
        <v>8</v>
      </c>
      <c r="Y212" s="1">
        <v>2</v>
      </c>
      <c r="Z212" s="1">
        <v>10</v>
      </c>
      <c r="AA212" s="1">
        <v>7</v>
      </c>
      <c r="AB212" s="3">
        <v>53</v>
      </c>
      <c r="AC212" s="1">
        <v>8</v>
      </c>
      <c r="AD212" s="1">
        <v>2</v>
      </c>
      <c r="AE212" s="1">
        <v>12</v>
      </c>
      <c r="AF212" s="1">
        <v>8</v>
      </c>
      <c r="AG212" s="1">
        <v>15</v>
      </c>
      <c r="AH212" s="1">
        <v>7</v>
      </c>
      <c r="AI212" s="1">
        <v>9</v>
      </c>
      <c r="AJ212" s="1">
        <v>5</v>
      </c>
      <c r="AK212" s="1">
        <v>16</v>
      </c>
      <c r="AL212" s="1">
        <v>39</v>
      </c>
      <c r="AM212" s="1">
        <v>10</v>
      </c>
      <c r="AN212" s="1">
        <v>9</v>
      </c>
      <c r="AO212" s="3">
        <v>140</v>
      </c>
      <c r="AP212" s="1">
        <v>13</v>
      </c>
      <c r="AQ212" s="1">
        <v>6</v>
      </c>
      <c r="AR212" s="1">
        <v>3</v>
      </c>
      <c r="AS212" s="1">
        <v>9</v>
      </c>
      <c r="AT212" s="1">
        <v>19</v>
      </c>
      <c r="AU212" s="1">
        <v>21</v>
      </c>
      <c r="AV212" s="1">
        <v>13</v>
      </c>
      <c r="AW212" s="1">
        <v>5</v>
      </c>
      <c r="AX212" s="1">
        <v>9</v>
      </c>
      <c r="AY212" s="1">
        <v>13</v>
      </c>
      <c r="AZ212" s="1">
        <v>2</v>
      </c>
      <c r="BA212" s="1">
        <v>18</v>
      </c>
      <c r="BB212" s="3">
        <v>131</v>
      </c>
      <c r="BC212" s="1">
        <v>10</v>
      </c>
      <c r="BD212" s="1">
        <v>11</v>
      </c>
      <c r="BE212" s="1">
        <v>17</v>
      </c>
      <c r="BF212" s="1">
        <v>19</v>
      </c>
      <c r="BG212" s="1">
        <v>13</v>
      </c>
      <c r="BH212" s="1">
        <v>12</v>
      </c>
      <c r="BI212" s="1">
        <v>11</v>
      </c>
      <c r="BJ212" s="1">
        <v>14</v>
      </c>
      <c r="BK212" s="1">
        <v>18</v>
      </c>
      <c r="BL212" s="1">
        <v>31</v>
      </c>
      <c r="BM212" s="1">
        <v>25</v>
      </c>
      <c r="BN212" s="1">
        <v>19</v>
      </c>
      <c r="BO212" s="3">
        <v>200</v>
      </c>
      <c r="BP212" s="3">
        <f t="shared" si="4"/>
        <v>580</v>
      </c>
    </row>
    <row r="213" spans="1:68" x14ac:dyDescent="0.2">
      <c r="A213" s="3">
        <v>164</v>
      </c>
      <c r="B213" t="s">
        <v>220</v>
      </c>
      <c r="C213" s="1">
        <v>0</v>
      </c>
      <c r="D213" s="1">
        <v>0</v>
      </c>
      <c r="E213" s="1">
        <v>0</v>
      </c>
      <c r="F213" s="1">
        <v>0</v>
      </c>
      <c r="G213" s="1">
        <v>0</v>
      </c>
      <c r="H213" s="1">
        <v>0</v>
      </c>
      <c r="I213" s="1">
        <v>0</v>
      </c>
      <c r="J213" s="1">
        <v>0</v>
      </c>
      <c r="K213" s="1">
        <v>0</v>
      </c>
      <c r="L213" s="1">
        <v>0</v>
      </c>
      <c r="M213" s="1">
        <v>1</v>
      </c>
      <c r="N213" s="1">
        <v>0</v>
      </c>
      <c r="O213" s="3">
        <v>1</v>
      </c>
      <c r="P213" s="1">
        <v>0</v>
      </c>
      <c r="Q213" s="1">
        <v>0</v>
      </c>
      <c r="R213" s="1">
        <v>0</v>
      </c>
      <c r="S213" s="1">
        <v>1</v>
      </c>
      <c r="T213" s="1">
        <v>2</v>
      </c>
      <c r="U213" s="1">
        <v>0</v>
      </c>
      <c r="V213" s="1">
        <v>2</v>
      </c>
      <c r="W213" s="1">
        <v>2</v>
      </c>
      <c r="X213" s="1">
        <v>1</v>
      </c>
      <c r="Y213" s="1">
        <v>2</v>
      </c>
      <c r="Z213" s="1">
        <v>3</v>
      </c>
      <c r="AA213" s="1">
        <v>3</v>
      </c>
      <c r="AB213" s="3">
        <v>16</v>
      </c>
      <c r="AC213" s="1">
        <v>4</v>
      </c>
      <c r="AD213" s="1">
        <v>0</v>
      </c>
      <c r="AE213" s="1">
        <v>5</v>
      </c>
      <c r="AF213" s="1">
        <v>29</v>
      </c>
      <c r="AG213" s="1">
        <v>18</v>
      </c>
      <c r="AH213" s="1">
        <v>5</v>
      </c>
      <c r="AI213" s="1">
        <v>6</v>
      </c>
      <c r="AJ213" s="1">
        <v>1</v>
      </c>
      <c r="AK213" s="1">
        <v>4</v>
      </c>
      <c r="AL213" s="1">
        <v>9</v>
      </c>
      <c r="AM213" s="1">
        <v>7</v>
      </c>
      <c r="AN213" s="1">
        <v>1</v>
      </c>
      <c r="AO213" s="3">
        <v>89</v>
      </c>
      <c r="AP213" s="1">
        <v>13</v>
      </c>
      <c r="AQ213" s="1">
        <v>2</v>
      </c>
      <c r="AR213" s="1">
        <v>6</v>
      </c>
      <c r="AS213" s="1">
        <v>6</v>
      </c>
      <c r="AT213" s="1">
        <v>16</v>
      </c>
      <c r="AU213" s="1">
        <v>11</v>
      </c>
      <c r="AV213" s="1">
        <v>15</v>
      </c>
      <c r="AW213" s="1">
        <v>4</v>
      </c>
      <c r="AX213" s="1">
        <v>3</v>
      </c>
      <c r="AY213" s="1">
        <v>9</v>
      </c>
      <c r="AZ213" s="1">
        <v>5</v>
      </c>
      <c r="BA213" s="1">
        <v>15</v>
      </c>
      <c r="BB213" s="3">
        <v>105</v>
      </c>
      <c r="BC213" s="1">
        <v>2</v>
      </c>
      <c r="BD213" s="1">
        <v>8</v>
      </c>
      <c r="BE213" s="1">
        <v>3</v>
      </c>
      <c r="BF213" s="1">
        <v>11</v>
      </c>
      <c r="BG213" s="1">
        <v>14</v>
      </c>
      <c r="BH213" s="1">
        <v>9</v>
      </c>
      <c r="BI213" s="1">
        <v>4</v>
      </c>
      <c r="BJ213" s="1">
        <v>3</v>
      </c>
      <c r="BK213" s="1">
        <v>3</v>
      </c>
      <c r="BL213" s="1">
        <v>13</v>
      </c>
      <c r="BM213" s="1">
        <v>22</v>
      </c>
      <c r="BN213" s="1">
        <v>10</v>
      </c>
      <c r="BO213" s="3">
        <v>102</v>
      </c>
      <c r="BP213" s="3">
        <f t="shared" si="4"/>
        <v>313</v>
      </c>
    </row>
    <row r="214" spans="1:68" x14ac:dyDescent="0.2">
      <c r="A214" s="3">
        <v>165</v>
      </c>
      <c r="B214" t="s">
        <v>221</v>
      </c>
      <c r="C214" s="1">
        <v>0</v>
      </c>
      <c r="D214" s="1">
        <v>0</v>
      </c>
      <c r="E214" s="1">
        <v>0</v>
      </c>
      <c r="F214" s="1">
        <v>0</v>
      </c>
      <c r="G214" s="1">
        <v>0</v>
      </c>
      <c r="H214" s="1">
        <v>0</v>
      </c>
      <c r="I214" s="1">
        <v>0</v>
      </c>
      <c r="J214" s="1">
        <v>0</v>
      </c>
      <c r="K214" s="1">
        <v>0</v>
      </c>
      <c r="L214" s="1">
        <v>0</v>
      </c>
      <c r="M214" s="1">
        <v>0</v>
      </c>
      <c r="N214" s="1">
        <v>0</v>
      </c>
      <c r="O214" s="3">
        <v>0</v>
      </c>
      <c r="P214" s="1">
        <v>0</v>
      </c>
      <c r="Q214" s="1">
        <v>0</v>
      </c>
      <c r="R214" s="1">
        <v>0</v>
      </c>
      <c r="S214" s="1">
        <v>0</v>
      </c>
      <c r="T214" s="1">
        <v>2</v>
      </c>
      <c r="U214" s="1">
        <v>0</v>
      </c>
      <c r="V214" s="1">
        <v>0</v>
      </c>
      <c r="W214" s="1">
        <v>0</v>
      </c>
      <c r="X214" s="1">
        <v>0</v>
      </c>
      <c r="Y214" s="1">
        <v>0</v>
      </c>
      <c r="Z214" s="1">
        <v>0</v>
      </c>
      <c r="AA214" s="1">
        <v>4</v>
      </c>
      <c r="AB214" s="3">
        <v>6</v>
      </c>
      <c r="AC214" s="1">
        <v>12</v>
      </c>
      <c r="AD214" s="1">
        <v>0</v>
      </c>
      <c r="AE214" s="1">
        <v>23</v>
      </c>
      <c r="AF214" s="1">
        <v>0</v>
      </c>
      <c r="AG214" s="1">
        <v>8</v>
      </c>
      <c r="AH214" s="1">
        <v>0</v>
      </c>
      <c r="AI214" s="1">
        <v>1</v>
      </c>
      <c r="AJ214" s="1">
        <v>5</v>
      </c>
      <c r="AK214" s="1">
        <v>0</v>
      </c>
      <c r="AL214" s="1">
        <v>1</v>
      </c>
      <c r="AM214" s="1">
        <v>4</v>
      </c>
      <c r="AN214" s="1">
        <v>2</v>
      </c>
      <c r="AO214" s="3">
        <v>56</v>
      </c>
      <c r="AP214" s="1">
        <v>1</v>
      </c>
      <c r="AQ214" s="1">
        <v>7</v>
      </c>
      <c r="AR214" s="1">
        <v>2</v>
      </c>
      <c r="AS214" s="1">
        <v>2</v>
      </c>
      <c r="AT214" s="1">
        <v>6</v>
      </c>
      <c r="AU214" s="1">
        <v>1</v>
      </c>
      <c r="AV214" s="1">
        <v>3</v>
      </c>
      <c r="AW214" s="1">
        <v>1</v>
      </c>
      <c r="AX214" s="1">
        <v>1</v>
      </c>
      <c r="AY214" s="1">
        <v>1</v>
      </c>
      <c r="AZ214" s="1">
        <v>0</v>
      </c>
      <c r="BA214" s="1">
        <v>14</v>
      </c>
      <c r="BB214" s="3">
        <v>39</v>
      </c>
      <c r="BC214" s="1">
        <v>33</v>
      </c>
      <c r="BD214" s="1">
        <v>0</v>
      </c>
      <c r="BE214" s="1">
        <v>0</v>
      </c>
      <c r="BF214" s="1">
        <v>1</v>
      </c>
      <c r="BG214" s="1">
        <v>1</v>
      </c>
      <c r="BH214" s="1">
        <v>1</v>
      </c>
      <c r="BI214" s="1">
        <v>0</v>
      </c>
      <c r="BJ214" s="1">
        <v>1</v>
      </c>
      <c r="BK214" s="1">
        <v>0</v>
      </c>
      <c r="BL214" s="1">
        <v>2</v>
      </c>
      <c r="BM214" s="1">
        <v>5</v>
      </c>
      <c r="BN214" s="1">
        <v>0</v>
      </c>
      <c r="BO214" s="3">
        <v>44</v>
      </c>
      <c r="BP214" s="3">
        <f t="shared" si="4"/>
        <v>145</v>
      </c>
    </row>
    <row r="215" spans="1:68" x14ac:dyDescent="0.2">
      <c r="A215" s="3">
        <v>166</v>
      </c>
      <c r="B215" t="s">
        <v>222</v>
      </c>
      <c r="C215" s="1">
        <v>0</v>
      </c>
      <c r="D215" s="1">
        <v>0</v>
      </c>
      <c r="E215" s="1">
        <v>0</v>
      </c>
      <c r="F215" s="1">
        <v>0</v>
      </c>
      <c r="G215" s="1">
        <v>0</v>
      </c>
      <c r="H215" s="1">
        <v>0</v>
      </c>
      <c r="I215" s="1">
        <v>0</v>
      </c>
      <c r="J215" s="1">
        <v>0</v>
      </c>
      <c r="K215" s="1">
        <v>0</v>
      </c>
      <c r="L215" s="1">
        <v>0</v>
      </c>
      <c r="M215" s="1">
        <v>0</v>
      </c>
      <c r="N215" s="1">
        <v>0</v>
      </c>
      <c r="O215" s="3">
        <v>0</v>
      </c>
      <c r="P215" s="1">
        <v>0</v>
      </c>
      <c r="Q215" s="1">
        <v>0</v>
      </c>
      <c r="R215" s="1">
        <v>0</v>
      </c>
      <c r="S215" s="1">
        <v>0</v>
      </c>
      <c r="T215" s="1">
        <v>2</v>
      </c>
      <c r="U215" s="1">
        <v>1</v>
      </c>
      <c r="V215" s="1">
        <v>0</v>
      </c>
      <c r="W215" s="1">
        <v>1</v>
      </c>
      <c r="X215" s="1">
        <v>0</v>
      </c>
      <c r="Y215" s="1">
        <v>2</v>
      </c>
      <c r="Z215" s="1">
        <v>0</v>
      </c>
      <c r="AA215" s="1">
        <v>2</v>
      </c>
      <c r="AB215" s="3">
        <v>8</v>
      </c>
      <c r="AC215" s="1">
        <v>7</v>
      </c>
      <c r="AD215" s="1">
        <v>2</v>
      </c>
      <c r="AE215" s="1">
        <v>2</v>
      </c>
      <c r="AF215" s="1">
        <v>0</v>
      </c>
      <c r="AG215" s="1">
        <v>3</v>
      </c>
      <c r="AH215" s="1">
        <v>0</v>
      </c>
      <c r="AI215" s="1">
        <v>3</v>
      </c>
      <c r="AJ215" s="1">
        <v>4</v>
      </c>
      <c r="AK215" s="1">
        <v>0</v>
      </c>
      <c r="AL215" s="1">
        <v>4</v>
      </c>
      <c r="AM215" s="1">
        <v>2</v>
      </c>
      <c r="AN215" s="1">
        <v>0</v>
      </c>
      <c r="AO215" s="3">
        <v>27</v>
      </c>
      <c r="AP215" s="1">
        <v>2</v>
      </c>
      <c r="AQ215" s="1">
        <v>0</v>
      </c>
      <c r="AR215" s="1">
        <v>2</v>
      </c>
      <c r="AS215" s="1">
        <v>0</v>
      </c>
      <c r="AT215" s="1">
        <v>2</v>
      </c>
      <c r="AU215" s="1">
        <v>1</v>
      </c>
      <c r="AV215" s="1">
        <v>0</v>
      </c>
      <c r="AW215" s="1">
        <v>16</v>
      </c>
      <c r="AX215" s="1">
        <v>2</v>
      </c>
      <c r="AY215" s="1">
        <v>2</v>
      </c>
      <c r="AZ215" s="1">
        <v>1</v>
      </c>
      <c r="BA215" s="1">
        <v>1</v>
      </c>
      <c r="BB215" s="3">
        <v>29</v>
      </c>
      <c r="BC215" s="1">
        <v>1</v>
      </c>
      <c r="BD215" s="1">
        <v>1</v>
      </c>
      <c r="BE215" s="1">
        <v>1</v>
      </c>
      <c r="BF215" s="1">
        <v>2</v>
      </c>
      <c r="BG215" s="1">
        <v>3</v>
      </c>
      <c r="BH215" s="1">
        <v>0</v>
      </c>
      <c r="BI215" s="1">
        <v>1</v>
      </c>
      <c r="BJ215" s="1">
        <v>1</v>
      </c>
      <c r="BK215" s="1">
        <v>3</v>
      </c>
      <c r="BL215" s="1">
        <v>5</v>
      </c>
      <c r="BM215" s="1">
        <v>10</v>
      </c>
      <c r="BN215" s="1">
        <v>2</v>
      </c>
      <c r="BO215" s="3">
        <v>30</v>
      </c>
      <c r="BP215" s="3">
        <f t="shared" si="4"/>
        <v>94</v>
      </c>
    </row>
    <row r="216" spans="1:68" x14ac:dyDescent="0.2">
      <c r="A216" s="3">
        <v>167</v>
      </c>
      <c r="B216" t="s">
        <v>223</v>
      </c>
      <c r="C216" s="1">
        <v>0</v>
      </c>
      <c r="D216" s="1">
        <v>0</v>
      </c>
      <c r="E216" s="1">
        <v>0</v>
      </c>
      <c r="F216" s="1">
        <v>0</v>
      </c>
      <c r="G216" s="1">
        <v>0</v>
      </c>
      <c r="H216" s="1">
        <v>0</v>
      </c>
      <c r="I216" s="1">
        <v>0</v>
      </c>
      <c r="J216" s="1">
        <v>0</v>
      </c>
      <c r="K216" s="1">
        <v>0</v>
      </c>
      <c r="L216" s="1">
        <v>0</v>
      </c>
      <c r="M216" s="1">
        <v>0</v>
      </c>
      <c r="N216" s="1">
        <v>0</v>
      </c>
      <c r="O216" s="3">
        <v>0</v>
      </c>
      <c r="P216" s="1">
        <v>0</v>
      </c>
      <c r="Q216" s="1">
        <v>0</v>
      </c>
      <c r="R216" s="1">
        <v>0</v>
      </c>
      <c r="S216" s="1">
        <v>0</v>
      </c>
      <c r="T216" s="1">
        <v>0</v>
      </c>
      <c r="U216" s="1">
        <v>0</v>
      </c>
      <c r="V216" s="1">
        <v>0</v>
      </c>
      <c r="W216" s="1">
        <v>0</v>
      </c>
      <c r="X216" s="1">
        <v>0</v>
      </c>
      <c r="Y216" s="1">
        <v>0</v>
      </c>
      <c r="Z216" s="1">
        <v>0</v>
      </c>
      <c r="AA216" s="1">
        <v>0</v>
      </c>
      <c r="AB216" s="3">
        <v>0</v>
      </c>
      <c r="AC216" s="1">
        <v>0</v>
      </c>
      <c r="AD216" s="1">
        <v>0</v>
      </c>
      <c r="AE216" s="1">
        <v>0</v>
      </c>
      <c r="AF216" s="1">
        <v>0</v>
      </c>
      <c r="AG216" s="1">
        <v>0</v>
      </c>
      <c r="AH216" s="1">
        <v>0</v>
      </c>
      <c r="AI216" s="1">
        <v>0</v>
      </c>
      <c r="AJ216" s="1">
        <v>0</v>
      </c>
      <c r="AK216" s="1">
        <v>0</v>
      </c>
      <c r="AL216" s="1">
        <v>0</v>
      </c>
      <c r="AM216" s="1">
        <v>0</v>
      </c>
      <c r="AN216" s="1">
        <v>0</v>
      </c>
      <c r="AO216" s="3">
        <v>0</v>
      </c>
      <c r="AP216" s="1">
        <v>0</v>
      </c>
      <c r="AQ216" s="1">
        <v>0</v>
      </c>
      <c r="AR216" s="1">
        <v>0</v>
      </c>
      <c r="AS216" s="1">
        <v>0</v>
      </c>
      <c r="AT216" s="1">
        <v>0</v>
      </c>
      <c r="AU216" s="1">
        <v>0</v>
      </c>
      <c r="AV216" s="1">
        <v>0</v>
      </c>
      <c r="AW216" s="1">
        <v>0</v>
      </c>
      <c r="AX216" s="1">
        <v>0</v>
      </c>
      <c r="AY216" s="1">
        <v>0</v>
      </c>
      <c r="AZ216" s="1">
        <v>0</v>
      </c>
      <c r="BA216" s="1">
        <v>0</v>
      </c>
      <c r="BB216" s="3">
        <v>0</v>
      </c>
      <c r="BC216" s="1">
        <v>0</v>
      </c>
      <c r="BD216" s="1">
        <v>0</v>
      </c>
      <c r="BE216" s="1">
        <v>0</v>
      </c>
      <c r="BF216" s="1">
        <v>0</v>
      </c>
      <c r="BG216" s="1">
        <v>0</v>
      </c>
      <c r="BH216" s="1">
        <v>0</v>
      </c>
      <c r="BI216" s="1">
        <v>0</v>
      </c>
      <c r="BJ216" s="1">
        <v>0</v>
      </c>
      <c r="BK216" s="1">
        <v>0</v>
      </c>
      <c r="BL216" s="1">
        <v>0</v>
      </c>
      <c r="BM216" s="1">
        <v>0</v>
      </c>
      <c r="BN216" s="1">
        <v>0</v>
      </c>
      <c r="BO216" s="3">
        <v>0</v>
      </c>
      <c r="BP216" s="3">
        <f t="shared" si="4"/>
        <v>0</v>
      </c>
    </row>
    <row r="217" spans="1:68" x14ac:dyDescent="0.2">
      <c r="A217" s="3">
        <v>168</v>
      </c>
      <c r="B217" t="s">
        <v>224</v>
      </c>
      <c r="C217" s="1">
        <v>0</v>
      </c>
      <c r="D217" s="1">
        <v>0</v>
      </c>
      <c r="E217" s="1">
        <v>0</v>
      </c>
      <c r="F217" s="1">
        <v>0</v>
      </c>
      <c r="G217" s="1">
        <v>0</v>
      </c>
      <c r="H217" s="1">
        <v>0</v>
      </c>
      <c r="I217" s="1">
        <v>0</v>
      </c>
      <c r="J217" s="1">
        <v>0</v>
      </c>
      <c r="K217" s="1">
        <v>0</v>
      </c>
      <c r="L217" s="1">
        <v>0</v>
      </c>
      <c r="M217" s="1">
        <v>0</v>
      </c>
      <c r="N217" s="1">
        <v>0</v>
      </c>
      <c r="O217" s="3">
        <v>0</v>
      </c>
      <c r="P217" s="1">
        <v>0</v>
      </c>
      <c r="Q217" s="1">
        <v>0</v>
      </c>
      <c r="R217" s="1">
        <v>0</v>
      </c>
      <c r="S217" s="1">
        <v>0</v>
      </c>
      <c r="T217" s="1">
        <v>0</v>
      </c>
      <c r="U217" s="1">
        <v>0</v>
      </c>
      <c r="V217" s="1">
        <v>0</v>
      </c>
      <c r="W217" s="1">
        <v>0</v>
      </c>
      <c r="X217" s="1">
        <v>0</v>
      </c>
      <c r="Y217" s="1">
        <v>0</v>
      </c>
      <c r="Z217" s="1">
        <v>0</v>
      </c>
      <c r="AA217" s="1">
        <v>0</v>
      </c>
      <c r="AB217" s="3">
        <v>0</v>
      </c>
      <c r="AC217" s="1">
        <v>0</v>
      </c>
      <c r="AD217" s="1">
        <v>0</v>
      </c>
      <c r="AE217" s="1">
        <v>0</v>
      </c>
      <c r="AF217" s="1">
        <v>0</v>
      </c>
      <c r="AG217" s="1">
        <v>0</v>
      </c>
      <c r="AH217" s="1">
        <v>0</v>
      </c>
      <c r="AI217" s="1">
        <v>0</v>
      </c>
      <c r="AJ217" s="1">
        <v>0</v>
      </c>
      <c r="AK217" s="1">
        <v>0</v>
      </c>
      <c r="AL217" s="1">
        <v>0</v>
      </c>
      <c r="AM217" s="1">
        <v>0</v>
      </c>
      <c r="AN217" s="1">
        <v>0</v>
      </c>
      <c r="AO217" s="3">
        <v>0</v>
      </c>
      <c r="AP217" s="1">
        <v>0</v>
      </c>
      <c r="AQ217" s="1">
        <v>0</v>
      </c>
      <c r="AR217" s="1">
        <v>0</v>
      </c>
      <c r="AS217" s="1">
        <v>0</v>
      </c>
      <c r="AT217" s="1">
        <v>0</v>
      </c>
      <c r="AU217" s="1">
        <v>0</v>
      </c>
      <c r="AV217" s="1">
        <v>0</v>
      </c>
      <c r="AW217" s="1">
        <v>0</v>
      </c>
      <c r="AX217" s="1">
        <v>0</v>
      </c>
      <c r="AY217" s="1">
        <v>0</v>
      </c>
      <c r="AZ217" s="1">
        <v>0</v>
      </c>
      <c r="BA217" s="1">
        <v>0</v>
      </c>
      <c r="BB217" s="3">
        <v>0</v>
      </c>
      <c r="BC217" s="1">
        <v>0</v>
      </c>
      <c r="BD217" s="1">
        <v>0</v>
      </c>
      <c r="BE217" s="1">
        <v>0</v>
      </c>
      <c r="BF217" s="1">
        <v>0</v>
      </c>
      <c r="BG217" s="1">
        <v>0</v>
      </c>
      <c r="BH217" s="1">
        <v>0</v>
      </c>
      <c r="BI217" s="1">
        <v>0</v>
      </c>
      <c r="BJ217" s="1">
        <v>0</v>
      </c>
      <c r="BK217" s="1">
        <v>0</v>
      </c>
      <c r="BL217" s="1">
        <v>0</v>
      </c>
      <c r="BM217" s="1">
        <v>0</v>
      </c>
      <c r="BN217" s="1">
        <v>0</v>
      </c>
      <c r="BO217" s="3">
        <v>0</v>
      </c>
      <c r="BP217" s="3">
        <f t="shared" si="4"/>
        <v>0</v>
      </c>
    </row>
    <row r="218" spans="1:68" x14ac:dyDescent="0.2">
      <c r="A218" s="3">
        <v>169</v>
      </c>
      <c r="B218" t="s">
        <v>225</v>
      </c>
      <c r="C218" s="1">
        <v>0</v>
      </c>
      <c r="D218" s="1">
        <v>0</v>
      </c>
      <c r="E218" s="1">
        <v>0</v>
      </c>
      <c r="F218" s="1">
        <v>0</v>
      </c>
      <c r="G218" s="1">
        <v>0</v>
      </c>
      <c r="H218" s="1">
        <v>0</v>
      </c>
      <c r="I218" s="1">
        <v>0</v>
      </c>
      <c r="J218" s="1">
        <v>0</v>
      </c>
      <c r="K218" s="1">
        <v>0</v>
      </c>
      <c r="L218" s="1">
        <v>0</v>
      </c>
      <c r="M218" s="1">
        <v>0</v>
      </c>
      <c r="N218" s="1">
        <v>0</v>
      </c>
      <c r="O218" s="3">
        <v>0</v>
      </c>
      <c r="P218" s="1">
        <v>0</v>
      </c>
      <c r="Q218" s="1">
        <v>0</v>
      </c>
      <c r="R218" s="1">
        <v>0</v>
      </c>
      <c r="S218" s="1">
        <v>0</v>
      </c>
      <c r="T218" s="1">
        <v>0</v>
      </c>
      <c r="U218" s="1">
        <v>0</v>
      </c>
      <c r="V218" s="1">
        <v>0</v>
      </c>
      <c r="W218" s="1">
        <v>0</v>
      </c>
      <c r="X218" s="1">
        <v>0</v>
      </c>
      <c r="Y218" s="1">
        <v>0</v>
      </c>
      <c r="Z218" s="1">
        <v>3</v>
      </c>
      <c r="AA218" s="1">
        <v>3</v>
      </c>
      <c r="AB218" s="3">
        <v>6</v>
      </c>
      <c r="AC218" s="1">
        <v>4</v>
      </c>
      <c r="AD218" s="1">
        <v>4</v>
      </c>
      <c r="AE218" s="1">
        <v>4</v>
      </c>
      <c r="AF218" s="1">
        <v>0</v>
      </c>
      <c r="AG218" s="1">
        <v>0</v>
      </c>
      <c r="AH218" s="1">
        <v>0</v>
      </c>
      <c r="AI218" s="1">
        <v>0</v>
      </c>
      <c r="AJ218" s="1">
        <v>0</v>
      </c>
      <c r="AK218" s="1">
        <v>0</v>
      </c>
      <c r="AL218" s="1">
        <v>0</v>
      </c>
      <c r="AM218" s="1">
        <v>0</v>
      </c>
      <c r="AN218" s="1">
        <v>0</v>
      </c>
      <c r="AO218" s="3">
        <v>12</v>
      </c>
      <c r="AP218" s="1">
        <v>0</v>
      </c>
      <c r="AQ218" s="1">
        <v>0</v>
      </c>
      <c r="AR218" s="1">
        <v>0</v>
      </c>
      <c r="AS218" s="1">
        <v>0</v>
      </c>
      <c r="AT218" s="1">
        <v>0</v>
      </c>
      <c r="AU218" s="1">
        <v>0</v>
      </c>
      <c r="AV218" s="1">
        <v>0</v>
      </c>
      <c r="AW218" s="1">
        <v>0</v>
      </c>
      <c r="AX218" s="1">
        <v>0</v>
      </c>
      <c r="AY218" s="1">
        <v>0</v>
      </c>
      <c r="AZ218" s="1">
        <v>0</v>
      </c>
      <c r="BA218" s="1">
        <v>0</v>
      </c>
      <c r="BB218" s="3">
        <v>0</v>
      </c>
      <c r="BC218" s="1">
        <v>0</v>
      </c>
      <c r="BD218" s="1">
        <v>0</v>
      </c>
      <c r="BE218" s="1">
        <v>0</v>
      </c>
      <c r="BF218" s="1">
        <v>0</v>
      </c>
      <c r="BG218" s="1">
        <v>0</v>
      </c>
      <c r="BH218" s="1">
        <v>0</v>
      </c>
      <c r="BI218" s="1">
        <v>0</v>
      </c>
      <c r="BJ218" s="1">
        <v>0</v>
      </c>
      <c r="BK218" s="1">
        <v>0</v>
      </c>
      <c r="BL218" s="1">
        <v>0</v>
      </c>
      <c r="BM218" s="1">
        <v>0</v>
      </c>
      <c r="BN218" s="1">
        <v>0</v>
      </c>
      <c r="BO218" s="3">
        <v>0</v>
      </c>
      <c r="BP218" s="3">
        <f t="shared" si="4"/>
        <v>18</v>
      </c>
    </row>
    <row r="219" spans="1:68" x14ac:dyDescent="0.2">
      <c r="A219" s="3">
        <v>170</v>
      </c>
      <c r="B219" t="s">
        <v>226</v>
      </c>
      <c r="C219" s="1">
        <v>0</v>
      </c>
      <c r="D219" s="1">
        <v>0</v>
      </c>
      <c r="E219" s="1">
        <v>5</v>
      </c>
      <c r="F219" s="1">
        <v>10</v>
      </c>
      <c r="G219" s="1">
        <v>6</v>
      </c>
      <c r="H219" s="1">
        <v>3</v>
      </c>
      <c r="I219" s="1">
        <v>0</v>
      </c>
      <c r="J219" s="1">
        <v>0</v>
      </c>
      <c r="K219" s="1">
        <v>0</v>
      </c>
      <c r="L219" s="1">
        <v>0</v>
      </c>
      <c r="M219" s="1">
        <v>0</v>
      </c>
      <c r="N219" s="1">
        <v>0</v>
      </c>
      <c r="O219" s="3">
        <v>24</v>
      </c>
      <c r="P219" s="1">
        <v>0</v>
      </c>
      <c r="Q219" s="1">
        <v>0</v>
      </c>
      <c r="R219" s="1">
        <v>0</v>
      </c>
      <c r="S219" s="1">
        <v>0</v>
      </c>
      <c r="T219" s="1">
        <v>0</v>
      </c>
      <c r="U219" s="1">
        <v>0</v>
      </c>
      <c r="V219" s="1">
        <v>0</v>
      </c>
      <c r="W219" s="1">
        <v>0</v>
      </c>
      <c r="X219" s="1">
        <v>0</v>
      </c>
      <c r="Y219" s="1">
        <v>2</v>
      </c>
      <c r="Z219" s="1">
        <v>2</v>
      </c>
      <c r="AA219" s="1">
        <v>0</v>
      </c>
      <c r="AB219" s="3">
        <v>4</v>
      </c>
      <c r="AC219" s="1">
        <v>5</v>
      </c>
      <c r="AD219" s="1">
        <v>2</v>
      </c>
      <c r="AE219" s="1">
        <v>9</v>
      </c>
      <c r="AF219" s="1">
        <v>5</v>
      </c>
      <c r="AG219" s="1">
        <v>14</v>
      </c>
      <c r="AH219" s="1">
        <v>3</v>
      </c>
      <c r="AI219" s="1">
        <v>2</v>
      </c>
      <c r="AJ219" s="1">
        <v>1</v>
      </c>
      <c r="AK219" s="1">
        <v>1</v>
      </c>
      <c r="AL219" s="1">
        <v>6</v>
      </c>
      <c r="AM219" s="1">
        <v>2</v>
      </c>
      <c r="AN219" s="1">
        <v>9</v>
      </c>
      <c r="AO219" s="3">
        <v>59</v>
      </c>
      <c r="AP219" s="1">
        <v>2</v>
      </c>
      <c r="AQ219" s="1">
        <v>3</v>
      </c>
      <c r="AR219" s="1">
        <v>0</v>
      </c>
      <c r="AS219" s="1">
        <v>0</v>
      </c>
      <c r="AT219" s="1">
        <v>5</v>
      </c>
      <c r="AU219" s="1">
        <v>3</v>
      </c>
      <c r="AV219" s="1">
        <v>5</v>
      </c>
      <c r="AW219" s="1">
        <v>0</v>
      </c>
      <c r="AX219" s="1">
        <v>3</v>
      </c>
      <c r="AY219" s="1">
        <v>1</v>
      </c>
      <c r="AZ219" s="1">
        <v>3</v>
      </c>
      <c r="BA219" s="1">
        <v>4</v>
      </c>
      <c r="BB219" s="3">
        <v>29</v>
      </c>
      <c r="BC219" s="1">
        <v>0</v>
      </c>
      <c r="BD219" s="1">
        <v>1</v>
      </c>
      <c r="BE219" s="1">
        <v>1</v>
      </c>
      <c r="BF219" s="1">
        <v>2</v>
      </c>
      <c r="BG219" s="1">
        <v>1</v>
      </c>
      <c r="BH219" s="1">
        <v>3</v>
      </c>
      <c r="BI219" s="1">
        <v>1</v>
      </c>
      <c r="BJ219" s="1">
        <v>5</v>
      </c>
      <c r="BK219" s="1">
        <v>1</v>
      </c>
      <c r="BL219" s="1">
        <v>3</v>
      </c>
      <c r="BM219" s="1">
        <v>10</v>
      </c>
      <c r="BN219" s="1">
        <v>0</v>
      </c>
      <c r="BO219" s="3">
        <v>28</v>
      </c>
      <c r="BP219" s="3">
        <f t="shared" si="4"/>
        <v>144</v>
      </c>
    </row>
    <row r="220" spans="1:68" x14ac:dyDescent="0.2">
      <c r="A220" s="3">
        <v>171</v>
      </c>
      <c r="B220" t="s">
        <v>227</v>
      </c>
      <c r="C220" s="1">
        <v>0</v>
      </c>
      <c r="D220" s="1">
        <v>0</v>
      </c>
      <c r="E220" s="1">
        <v>0</v>
      </c>
      <c r="F220" s="1">
        <v>0</v>
      </c>
      <c r="G220" s="1">
        <v>0</v>
      </c>
      <c r="H220" s="1">
        <v>0</v>
      </c>
      <c r="I220" s="1">
        <v>0</v>
      </c>
      <c r="J220" s="1">
        <v>0</v>
      </c>
      <c r="K220" s="1">
        <v>0</v>
      </c>
      <c r="L220" s="1">
        <v>0</v>
      </c>
      <c r="M220" s="1">
        <v>0</v>
      </c>
      <c r="N220" s="1">
        <v>0</v>
      </c>
      <c r="O220" s="3">
        <v>0</v>
      </c>
      <c r="P220" s="1">
        <v>0</v>
      </c>
      <c r="Q220" s="1">
        <v>0</v>
      </c>
      <c r="R220" s="1">
        <v>0</v>
      </c>
      <c r="S220" s="1">
        <v>0</v>
      </c>
      <c r="T220" s="1">
        <v>1</v>
      </c>
      <c r="U220" s="1">
        <v>0</v>
      </c>
      <c r="V220" s="1">
        <v>0</v>
      </c>
      <c r="W220" s="1">
        <v>0</v>
      </c>
      <c r="X220" s="1">
        <v>0</v>
      </c>
      <c r="Y220" s="1">
        <v>0</v>
      </c>
      <c r="Z220" s="1">
        <v>0</v>
      </c>
      <c r="AA220" s="1">
        <v>0</v>
      </c>
      <c r="AB220" s="3">
        <v>1</v>
      </c>
      <c r="AC220" s="1">
        <v>2</v>
      </c>
      <c r="AD220" s="1">
        <v>2</v>
      </c>
      <c r="AE220" s="1">
        <v>1</v>
      </c>
      <c r="AF220" s="1">
        <v>0</v>
      </c>
      <c r="AG220" s="1">
        <v>0</v>
      </c>
      <c r="AH220" s="1">
        <v>0</v>
      </c>
      <c r="AI220" s="1">
        <v>0</v>
      </c>
      <c r="AJ220" s="1">
        <v>0</v>
      </c>
      <c r="AK220" s="1">
        <v>1</v>
      </c>
      <c r="AL220" s="1">
        <v>4</v>
      </c>
      <c r="AM220" s="1">
        <v>1</v>
      </c>
      <c r="AN220" s="1">
        <v>2</v>
      </c>
      <c r="AO220" s="3">
        <v>13</v>
      </c>
      <c r="AP220" s="1">
        <v>0</v>
      </c>
      <c r="AQ220" s="1">
        <v>0</v>
      </c>
      <c r="AR220" s="1">
        <v>0</v>
      </c>
      <c r="AS220" s="1">
        <v>1</v>
      </c>
      <c r="AT220" s="1">
        <v>1</v>
      </c>
      <c r="AU220" s="1">
        <v>0</v>
      </c>
      <c r="AV220" s="1">
        <v>3</v>
      </c>
      <c r="AW220" s="1">
        <v>0</v>
      </c>
      <c r="AX220" s="1">
        <v>2</v>
      </c>
      <c r="AY220" s="1">
        <v>0</v>
      </c>
      <c r="AZ220" s="1">
        <v>1</v>
      </c>
      <c r="BA220" s="1">
        <v>4</v>
      </c>
      <c r="BB220" s="3">
        <v>12</v>
      </c>
      <c r="BC220" s="1">
        <v>0</v>
      </c>
      <c r="BD220" s="1">
        <v>1</v>
      </c>
      <c r="BE220" s="1">
        <v>3</v>
      </c>
      <c r="BF220" s="1">
        <v>1</v>
      </c>
      <c r="BG220" s="1">
        <v>0</v>
      </c>
      <c r="BH220" s="1">
        <v>1</v>
      </c>
      <c r="BI220" s="1">
        <v>0</v>
      </c>
      <c r="BJ220" s="1">
        <v>0</v>
      </c>
      <c r="BK220" s="1">
        <v>1</v>
      </c>
      <c r="BL220" s="1">
        <v>0</v>
      </c>
      <c r="BM220" s="1">
        <v>1</v>
      </c>
      <c r="BN220" s="1">
        <v>1</v>
      </c>
      <c r="BO220" s="3">
        <v>9</v>
      </c>
      <c r="BP220" s="3">
        <f t="shared" si="4"/>
        <v>35</v>
      </c>
    </row>
    <row r="221" spans="1:68" x14ac:dyDescent="0.2">
      <c r="A221" s="3">
        <v>172</v>
      </c>
      <c r="B221" t="s">
        <v>228</v>
      </c>
      <c r="C221" s="1">
        <v>0</v>
      </c>
      <c r="D221" s="1">
        <v>0</v>
      </c>
      <c r="E221" s="1">
        <v>0</v>
      </c>
      <c r="F221" s="1">
        <v>0</v>
      </c>
      <c r="G221" s="1">
        <v>0</v>
      </c>
      <c r="H221" s="1">
        <v>0</v>
      </c>
      <c r="I221" s="1">
        <v>1</v>
      </c>
      <c r="J221" s="1">
        <v>0</v>
      </c>
      <c r="K221" s="1">
        <v>1</v>
      </c>
      <c r="L221" s="1">
        <v>0</v>
      </c>
      <c r="M221" s="1">
        <v>0</v>
      </c>
      <c r="N221" s="1">
        <v>0</v>
      </c>
      <c r="O221" s="3">
        <v>2</v>
      </c>
      <c r="P221" s="1">
        <v>2</v>
      </c>
      <c r="Q221" s="1">
        <v>0</v>
      </c>
      <c r="R221" s="1">
        <v>0</v>
      </c>
      <c r="S221" s="1">
        <v>0</v>
      </c>
      <c r="T221" s="1">
        <v>1</v>
      </c>
      <c r="U221" s="1">
        <v>0</v>
      </c>
      <c r="V221" s="1">
        <v>0</v>
      </c>
      <c r="W221" s="1">
        <v>0</v>
      </c>
      <c r="X221" s="1">
        <v>0</v>
      </c>
      <c r="Y221" s="1">
        <v>0</v>
      </c>
      <c r="Z221" s="1">
        <v>1</v>
      </c>
      <c r="AA221" s="1">
        <v>3</v>
      </c>
      <c r="AB221" s="3">
        <v>7</v>
      </c>
      <c r="AC221" s="1">
        <v>16</v>
      </c>
      <c r="AD221" s="1">
        <v>4</v>
      </c>
      <c r="AE221" s="1">
        <v>3</v>
      </c>
      <c r="AF221" s="1">
        <v>0</v>
      </c>
      <c r="AG221" s="1">
        <v>1</v>
      </c>
      <c r="AH221" s="1">
        <v>0</v>
      </c>
      <c r="AI221" s="1">
        <v>4</v>
      </c>
      <c r="AJ221" s="1">
        <v>2</v>
      </c>
      <c r="AK221" s="1">
        <v>0</v>
      </c>
      <c r="AL221" s="1">
        <v>8</v>
      </c>
      <c r="AM221" s="1">
        <v>1</v>
      </c>
      <c r="AN221" s="1">
        <v>4</v>
      </c>
      <c r="AO221" s="3">
        <v>43</v>
      </c>
      <c r="AP221" s="1">
        <v>0</v>
      </c>
      <c r="AQ221" s="1">
        <v>2</v>
      </c>
      <c r="AR221" s="1">
        <v>0</v>
      </c>
      <c r="AS221" s="1">
        <v>1</v>
      </c>
      <c r="AT221" s="1">
        <v>1</v>
      </c>
      <c r="AU221" s="1">
        <v>3</v>
      </c>
      <c r="AV221" s="1">
        <v>2</v>
      </c>
      <c r="AW221" s="1">
        <v>0</v>
      </c>
      <c r="AX221" s="1">
        <v>3</v>
      </c>
      <c r="AY221" s="1">
        <v>2</v>
      </c>
      <c r="AZ221" s="1">
        <v>1</v>
      </c>
      <c r="BA221" s="1">
        <v>0</v>
      </c>
      <c r="BB221" s="3">
        <v>15</v>
      </c>
      <c r="BC221" s="1">
        <v>0</v>
      </c>
      <c r="BD221" s="1">
        <v>0</v>
      </c>
      <c r="BE221" s="1">
        <v>1</v>
      </c>
      <c r="BF221" s="1">
        <v>2</v>
      </c>
      <c r="BG221" s="1">
        <v>2</v>
      </c>
      <c r="BH221" s="1">
        <v>2</v>
      </c>
      <c r="BI221" s="1">
        <v>0</v>
      </c>
      <c r="BJ221" s="1">
        <v>0</v>
      </c>
      <c r="BK221" s="1">
        <v>0</v>
      </c>
      <c r="BL221" s="1">
        <v>1</v>
      </c>
      <c r="BM221" s="1">
        <v>0</v>
      </c>
      <c r="BN221" s="1">
        <v>1</v>
      </c>
      <c r="BO221" s="3">
        <v>9</v>
      </c>
      <c r="BP221" s="3">
        <f t="shared" si="4"/>
        <v>76</v>
      </c>
    </row>
    <row r="222" spans="1:68" x14ac:dyDescent="0.2">
      <c r="A222" s="3">
        <v>173</v>
      </c>
      <c r="B222" t="s">
        <v>229</v>
      </c>
      <c r="C222" s="1">
        <v>0</v>
      </c>
      <c r="D222" s="1">
        <v>0</v>
      </c>
      <c r="E222" s="1">
        <v>0</v>
      </c>
      <c r="F222" s="1">
        <v>0</v>
      </c>
      <c r="G222" s="1">
        <v>0</v>
      </c>
      <c r="H222" s="1">
        <v>0</v>
      </c>
      <c r="I222" s="1">
        <v>0</v>
      </c>
      <c r="J222" s="1">
        <v>0</v>
      </c>
      <c r="K222" s="1">
        <v>0</v>
      </c>
      <c r="L222" s="1">
        <v>0</v>
      </c>
      <c r="M222" s="1">
        <v>0</v>
      </c>
      <c r="N222" s="1">
        <v>0</v>
      </c>
      <c r="O222" s="3">
        <v>0</v>
      </c>
      <c r="P222" s="1">
        <v>0</v>
      </c>
      <c r="Q222" s="1">
        <v>0</v>
      </c>
      <c r="R222" s="1">
        <v>0</v>
      </c>
      <c r="S222" s="1">
        <v>0</v>
      </c>
      <c r="T222" s="1">
        <v>0</v>
      </c>
      <c r="U222" s="1">
        <v>0</v>
      </c>
      <c r="V222" s="1">
        <v>0</v>
      </c>
      <c r="W222" s="1">
        <v>0</v>
      </c>
      <c r="X222" s="1">
        <v>0</v>
      </c>
      <c r="Y222" s="1">
        <v>3</v>
      </c>
      <c r="Z222" s="1">
        <v>0</v>
      </c>
      <c r="AA222" s="1">
        <v>0</v>
      </c>
      <c r="AB222" s="3">
        <v>3</v>
      </c>
      <c r="AC222" s="1">
        <v>0</v>
      </c>
      <c r="AD222" s="1">
        <v>0</v>
      </c>
      <c r="AE222" s="1">
        <v>0</v>
      </c>
      <c r="AF222" s="1">
        <v>0</v>
      </c>
      <c r="AG222" s="1">
        <v>0</v>
      </c>
      <c r="AH222" s="1">
        <v>0</v>
      </c>
      <c r="AI222" s="1">
        <v>0</v>
      </c>
      <c r="AJ222" s="1">
        <v>0</v>
      </c>
      <c r="AK222" s="1">
        <v>0</v>
      </c>
      <c r="AL222" s="1">
        <v>0</v>
      </c>
      <c r="AM222" s="1">
        <v>0</v>
      </c>
      <c r="AN222" s="1">
        <v>0</v>
      </c>
      <c r="AO222" s="3">
        <v>0</v>
      </c>
      <c r="AP222" s="1">
        <v>0</v>
      </c>
      <c r="AQ222" s="1">
        <v>0</v>
      </c>
      <c r="AR222" s="1">
        <v>0</v>
      </c>
      <c r="AS222" s="1">
        <v>0</v>
      </c>
      <c r="AT222" s="1">
        <v>0</v>
      </c>
      <c r="AU222" s="1">
        <v>0</v>
      </c>
      <c r="AV222" s="1">
        <v>0</v>
      </c>
      <c r="AW222" s="1">
        <v>0</v>
      </c>
      <c r="AX222" s="1">
        <v>0</v>
      </c>
      <c r="AY222" s="1">
        <v>0</v>
      </c>
      <c r="AZ222" s="1">
        <v>0</v>
      </c>
      <c r="BA222" s="1">
        <v>0</v>
      </c>
      <c r="BB222" s="3">
        <v>0</v>
      </c>
      <c r="BC222" s="1">
        <v>0</v>
      </c>
      <c r="BD222" s="1">
        <v>0</v>
      </c>
      <c r="BE222" s="1">
        <v>0</v>
      </c>
      <c r="BF222" s="1">
        <v>0</v>
      </c>
      <c r="BG222" s="1">
        <v>0</v>
      </c>
      <c r="BH222" s="1">
        <v>0</v>
      </c>
      <c r="BI222" s="1">
        <v>0</v>
      </c>
      <c r="BJ222" s="1">
        <v>0</v>
      </c>
      <c r="BK222" s="1">
        <v>0</v>
      </c>
      <c r="BL222" s="1">
        <v>0</v>
      </c>
      <c r="BM222" s="1">
        <v>0</v>
      </c>
      <c r="BN222" s="1">
        <v>0</v>
      </c>
      <c r="BO222" s="3">
        <v>0</v>
      </c>
      <c r="BP222" s="3">
        <f t="shared" si="4"/>
        <v>3</v>
      </c>
    </row>
    <row r="223" spans="1:68" x14ac:dyDescent="0.2">
      <c r="A223" s="3">
        <v>174</v>
      </c>
      <c r="B223" t="s">
        <v>230</v>
      </c>
      <c r="C223" s="1">
        <v>0</v>
      </c>
      <c r="D223" s="1">
        <v>0</v>
      </c>
      <c r="E223" s="1">
        <v>0</v>
      </c>
      <c r="F223" s="1">
        <v>0</v>
      </c>
      <c r="G223" s="1">
        <v>0</v>
      </c>
      <c r="H223" s="1">
        <v>0</v>
      </c>
      <c r="I223" s="1">
        <v>0</v>
      </c>
      <c r="J223" s="1">
        <v>0</v>
      </c>
      <c r="K223" s="1">
        <v>0</v>
      </c>
      <c r="L223" s="1">
        <v>0</v>
      </c>
      <c r="M223" s="1">
        <v>0</v>
      </c>
      <c r="N223" s="1">
        <v>0</v>
      </c>
      <c r="O223" s="3">
        <v>0</v>
      </c>
      <c r="P223" s="1">
        <v>0</v>
      </c>
      <c r="Q223" s="1">
        <v>0</v>
      </c>
      <c r="R223" s="1">
        <v>0</v>
      </c>
      <c r="S223" s="1">
        <v>0</v>
      </c>
      <c r="T223" s="1">
        <v>0</v>
      </c>
      <c r="U223" s="1">
        <v>0</v>
      </c>
      <c r="V223" s="1">
        <v>0</v>
      </c>
      <c r="W223" s="1">
        <v>0</v>
      </c>
      <c r="X223" s="1">
        <v>0</v>
      </c>
      <c r="Y223" s="1">
        <v>0</v>
      </c>
      <c r="Z223" s="1">
        <v>0</v>
      </c>
      <c r="AA223" s="1">
        <v>2</v>
      </c>
      <c r="AB223" s="3">
        <v>2</v>
      </c>
      <c r="AC223" s="1">
        <v>0</v>
      </c>
      <c r="AD223" s="1">
        <v>0</v>
      </c>
      <c r="AE223" s="1">
        <v>0</v>
      </c>
      <c r="AF223" s="1">
        <v>0</v>
      </c>
      <c r="AG223" s="1">
        <v>0</v>
      </c>
      <c r="AH223" s="1">
        <v>0</v>
      </c>
      <c r="AI223" s="1">
        <v>0</v>
      </c>
      <c r="AJ223" s="1">
        <v>0</v>
      </c>
      <c r="AK223" s="1">
        <v>0</v>
      </c>
      <c r="AL223" s="1">
        <v>0</v>
      </c>
      <c r="AM223" s="1">
        <v>0</v>
      </c>
      <c r="AN223" s="1">
        <v>0</v>
      </c>
      <c r="AO223" s="3">
        <v>0</v>
      </c>
      <c r="AP223" s="1">
        <v>0</v>
      </c>
      <c r="AQ223" s="1">
        <v>0</v>
      </c>
      <c r="AR223" s="1">
        <v>0</v>
      </c>
      <c r="AS223" s="1">
        <v>0</v>
      </c>
      <c r="AT223" s="1">
        <v>0</v>
      </c>
      <c r="AU223" s="1">
        <v>0</v>
      </c>
      <c r="AV223" s="1">
        <v>0</v>
      </c>
      <c r="AW223" s="1">
        <v>0</v>
      </c>
      <c r="AX223" s="1">
        <v>0</v>
      </c>
      <c r="AY223" s="1">
        <v>0</v>
      </c>
      <c r="AZ223" s="1">
        <v>0</v>
      </c>
      <c r="BA223" s="1">
        <v>0</v>
      </c>
      <c r="BB223" s="3">
        <v>0</v>
      </c>
      <c r="BC223" s="1">
        <v>0</v>
      </c>
      <c r="BD223" s="1">
        <v>0</v>
      </c>
      <c r="BE223" s="1">
        <v>0</v>
      </c>
      <c r="BF223" s="1">
        <v>0</v>
      </c>
      <c r="BG223" s="1">
        <v>0</v>
      </c>
      <c r="BH223" s="1">
        <v>0</v>
      </c>
      <c r="BI223" s="1">
        <v>1</v>
      </c>
      <c r="BJ223" s="1">
        <v>0</v>
      </c>
      <c r="BK223" s="1">
        <v>0</v>
      </c>
      <c r="BL223" s="1">
        <v>0</v>
      </c>
      <c r="BM223" s="1">
        <v>0</v>
      </c>
      <c r="BN223" s="1">
        <v>0</v>
      </c>
      <c r="BO223" s="3">
        <v>1</v>
      </c>
      <c r="BP223" s="3">
        <f t="shared" si="4"/>
        <v>3</v>
      </c>
    </row>
    <row r="224" spans="1:68" x14ac:dyDescent="0.2">
      <c r="A224" s="3">
        <v>175</v>
      </c>
      <c r="B224" t="s">
        <v>231</v>
      </c>
      <c r="C224" s="1">
        <v>0</v>
      </c>
      <c r="D224" s="1">
        <v>0</v>
      </c>
      <c r="E224" s="1">
        <v>0</v>
      </c>
      <c r="F224" s="1">
        <v>0</v>
      </c>
      <c r="G224" s="1">
        <v>0</v>
      </c>
      <c r="H224" s="1">
        <v>0</v>
      </c>
      <c r="I224" s="1">
        <v>0</v>
      </c>
      <c r="J224" s="1">
        <v>0</v>
      </c>
      <c r="K224" s="1">
        <v>0</v>
      </c>
      <c r="L224" s="1">
        <v>0</v>
      </c>
      <c r="M224" s="1">
        <v>0</v>
      </c>
      <c r="N224" s="1">
        <v>0</v>
      </c>
      <c r="O224" s="3">
        <v>0</v>
      </c>
      <c r="P224" s="1">
        <v>0</v>
      </c>
      <c r="Q224" s="1">
        <v>0</v>
      </c>
      <c r="R224" s="1">
        <v>0</v>
      </c>
      <c r="S224" s="1">
        <v>0</v>
      </c>
      <c r="T224" s="1">
        <v>0</v>
      </c>
      <c r="U224" s="1">
        <v>0</v>
      </c>
      <c r="V224" s="1">
        <v>0</v>
      </c>
      <c r="W224" s="1">
        <v>0</v>
      </c>
      <c r="X224" s="1">
        <v>0</v>
      </c>
      <c r="Y224" s="1">
        <v>0</v>
      </c>
      <c r="Z224" s="1">
        <v>0</v>
      </c>
      <c r="AA224" s="1">
        <v>0</v>
      </c>
      <c r="AB224" s="3">
        <v>0</v>
      </c>
      <c r="AC224" s="1">
        <v>0</v>
      </c>
      <c r="AD224" s="1">
        <v>0</v>
      </c>
      <c r="AE224" s="1">
        <v>0</v>
      </c>
      <c r="AF224" s="1">
        <v>0</v>
      </c>
      <c r="AG224" s="1">
        <v>0</v>
      </c>
      <c r="AH224" s="1">
        <v>0</v>
      </c>
      <c r="AI224" s="1">
        <v>0</v>
      </c>
      <c r="AJ224" s="1">
        <v>0</v>
      </c>
      <c r="AK224" s="1">
        <v>0</v>
      </c>
      <c r="AL224" s="1">
        <v>0</v>
      </c>
      <c r="AM224" s="1">
        <v>0</v>
      </c>
      <c r="AN224" s="1">
        <v>0</v>
      </c>
      <c r="AO224" s="3">
        <v>0</v>
      </c>
      <c r="AP224" s="1">
        <v>0</v>
      </c>
      <c r="AQ224" s="1">
        <v>0</v>
      </c>
      <c r="AR224" s="1">
        <v>0</v>
      </c>
      <c r="AS224" s="1">
        <v>0</v>
      </c>
      <c r="AT224" s="1">
        <v>0</v>
      </c>
      <c r="AU224" s="1">
        <v>0</v>
      </c>
      <c r="AV224" s="1">
        <v>0</v>
      </c>
      <c r="AW224" s="1">
        <v>0</v>
      </c>
      <c r="AX224" s="1">
        <v>0</v>
      </c>
      <c r="AY224" s="1">
        <v>0</v>
      </c>
      <c r="AZ224" s="1">
        <v>0</v>
      </c>
      <c r="BA224" s="1">
        <v>0</v>
      </c>
      <c r="BB224" s="3">
        <v>0</v>
      </c>
      <c r="BC224" s="1">
        <v>0</v>
      </c>
      <c r="BD224" s="1">
        <v>0</v>
      </c>
      <c r="BE224" s="1">
        <v>0</v>
      </c>
      <c r="BF224" s="1">
        <v>0</v>
      </c>
      <c r="BG224" s="1">
        <v>0</v>
      </c>
      <c r="BH224" s="1">
        <v>0</v>
      </c>
      <c r="BI224" s="1">
        <v>0</v>
      </c>
      <c r="BJ224" s="1">
        <v>0</v>
      </c>
      <c r="BK224" s="1">
        <v>0</v>
      </c>
      <c r="BL224" s="1">
        <v>0</v>
      </c>
      <c r="BM224" s="1">
        <v>0</v>
      </c>
      <c r="BN224" s="1">
        <v>0</v>
      </c>
      <c r="BO224" s="3">
        <v>0</v>
      </c>
      <c r="BP224" s="3">
        <f t="shared" si="4"/>
        <v>0</v>
      </c>
    </row>
    <row r="225" spans="1:69" x14ac:dyDescent="0.2">
      <c r="A225" s="3">
        <v>176</v>
      </c>
      <c r="B225" t="s">
        <v>232</v>
      </c>
      <c r="C225" s="1">
        <v>0</v>
      </c>
      <c r="D225" s="1">
        <v>0</v>
      </c>
      <c r="E225" s="1">
        <v>0</v>
      </c>
      <c r="F225" s="1">
        <v>0</v>
      </c>
      <c r="G225" s="1">
        <v>0</v>
      </c>
      <c r="H225" s="1">
        <v>0</v>
      </c>
      <c r="I225" s="1">
        <v>0</v>
      </c>
      <c r="J225" s="1">
        <v>0</v>
      </c>
      <c r="K225" s="1">
        <v>0</v>
      </c>
      <c r="L225" s="1">
        <v>0</v>
      </c>
      <c r="M225" s="1">
        <v>0</v>
      </c>
      <c r="N225" s="1">
        <v>0</v>
      </c>
      <c r="O225" s="3">
        <v>0</v>
      </c>
      <c r="P225" s="1">
        <v>0</v>
      </c>
      <c r="Q225" s="1">
        <v>0</v>
      </c>
      <c r="R225" s="1">
        <v>0</v>
      </c>
      <c r="S225" s="1">
        <v>0</v>
      </c>
      <c r="T225" s="1">
        <v>0</v>
      </c>
      <c r="U225" s="1">
        <v>0</v>
      </c>
      <c r="V225" s="1">
        <v>0</v>
      </c>
      <c r="W225" s="1">
        <v>0</v>
      </c>
      <c r="X225" s="1">
        <v>0</v>
      </c>
      <c r="Y225" s="1">
        <v>0</v>
      </c>
      <c r="Z225" s="1">
        <v>0</v>
      </c>
      <c r="AA225" s="1">
        <v>1</v>
      </c>
      <c r="AB225" s="3">
        <v>1</v>
      </c>
      <c r="AC225" s="1">
        <v>9</v>
      </c>
      <c r="AD225" s="1">
        <v>0</v>
      </c>
      <c r="AE225" s="1">
        <v>0</v>
      </c>
      <c r="AF225" s="1">
        <v>0</v>
      </c>
      <c r="AG225" s="1">
        <v>5</v>
      </c>
      <c r="AH225" s="1">
        <v>0</v>
      </c>
      <c r="AI225" s="1">
        <v>1</v>
      </c>
      <c r="AJ225" s="1">
        <v>0</v>
      </c>
      <c r="AK225" s="1">
        <v>0</v>
      </c>
      <c r="AL225" s="1">
        <v>4</v>
      </c>
      <c r="AM225" s="1">
        <v>0</v>
      </c>
      <c r="AN225" s="1">
        <v>1</v>
      </c>
      <c r="AO225" s="3">
        <v>20</v>
      </c>
      <c r="AP225" s="1">
        <v>0</v>
      </c>
      <c r="AQ225" s="1">
        <v>0</v>
      </c>
      <c r="AR225" s="1">
        <v>4</v>
      </c>
      <c r="AS225" s="1">
        <v>2</v>
      </c>
      <c r="AT225" s="1">
        <v>4</v>
      </c>
      <c r="AU225" s="1">
        <v>0</v>
      </c>
      <c r="AV225" s="1">
        <v>3</v>
      </c>
      <c r="AW225" s="1">
        <v>1</v>
      </c>
      <c r="AX225" s="1">
        <v>1</v>
      </c>
      <c r="AY225" s="1">
        <v>0</v>
      </c>
      <c r="AZ225" s="1">
        <v>1</v>
      </c>
      <c r="BA225" s="1">
        <v>1</v>
      </c>
      <c r="BB225" s="3">
        <v>17</v>
      </c>
      <c r="BC225" s="1">
        <v>0</v>
      </c>
      <c r="BD225" s="1">
        <v>4</v>
      </c>
      <c r="BE225" s="1">
        <v>2</v>
      </c>
      <c r="BF225" s="1">
        <v>0</v>
      </c>
      <c r="BG225" s="1">
        <v>1</v>
      </c>
      <c r="BH225" s="1">
        <v>1</v>
      </c>
      <c r="BI225" s="1">
        <v>0</v>
      </c>
      <c r="BJ225" s="1">
        <v>0</v>
      </c>
      <c r="BK225" s="1">
        <v>1</v>
      </c>
      <c r="BL225" s="1">
        <v>3</v>
      </c>
      <c r="BM225" s="1">
        <v>8</v>
      </c>
      <c r="BN225" s="1">
        <v>0</v>
      </c>
      <c r="BO225" s="3">
        <v>20</v>
      </c>
      <c r="BP225" s="3">
        <f t="shared" si="4"/>
        <v>58</v>
      </c>
    </row>
    <row r="226" spans="1:69" x14ac:dyDescent="0.2">
      <c r="A226" s="3">
        <v>177</v>
      </c>
      <c r="B226" t="s">
        <v>233</v>
      </c>
      <c r="C226" s="1">
        <v>0</v>
      </c>
      <c r="D226" s="1">
        <v>0</v>
      </c>
      <c r="E226" s="1">
        <v>0</v>
      </c>
      <c r="F226" s="1">
        <v>0</v>
      </c>
      <c r="G226" s="1">
        <v>0</v>
      </c>
      <c r="H226" s="1">
        <v>0</v>
      </c>
      <c r="I226" s="1">
        <v>0</v>
      </c>
      <c r="J226" s="1">
        <v>0</v>
      </c>
      <c r="K226" s="1">
        <v>0</v>
      </c>
      <c r="L226" s="1">
        <v>0</v>
      </c>
      <c r="M226" s="1">
        <v>0</v>
      </c>
      <c r="N226" s="1">
        <v>0</v>
      </c>
      <c r="O226" s="3">
        <v>0</v>
      </c>
      <c r="P226" s="1">
        <v>0</v>
      </c>
      <c r="Q226" s="1">
        <v>0</v>
      </c>
      <c r="R226" s="1">
        <v>0</v>
      </c>
      <c r="S226" s="1">
        <v>0</v>
      </c>
      <c r="T226" s="1">
        <v>0</v>
      </c>
      <c r="U226" s="1">
        <v>0</v>
      </c>
      <c r="V226" s="1">
        <v>0</v>
      </c>
      <c r="W226" s="1">
        <v>0</v>
      </c>
      <c r="X226" s="1">
        <v>0</v>
      </c>
      <c r="Y226" s="1">
        <v>0</v>
      </c>
      <c r="Z226" s="1">
        <v>0</v>
      </c>
      <c r="AA226" s="1">
        <v>0</v>
      </c>
      <c r="AB226" s="3">
        <v>0</v>
      </c>
      <c r="AC226" s="1">
        <v>0</v>
      </c>
      <c r="AD226" s="1">
        <v>0</v>
      </c>
      <c r="AE226" s="1">
        <v>0</v>
      </c>
      <c r="AF226" s="1">
        <v>0</v>
      </c>
      <c r="AG226" s="1">
        <v>0</v>
      </c>
      <c r="AH226" s="1">
        <v>0</v>
      </c>
      <c r="AI226" s="1">
        <v>0</v>
      </c>
      <c r="AJ226" s="1">
        <v>0</v>
      </c>
      <c r="AK226" s="1">
        <v>0</v>
      </c>
      <c r="AL226" s="1">
        <v>0</v>
      </c>
      <c r="AM226" s="1">
        <v>0</v>
      </c>
      <c r="AN226" s="1">
        <v>0</v>
      </c>
      <c r="AO226" s="3">
        <v>0</v>
      </c>
      <c r="AP226" s="1">
        <v>0</v>
      </c>
      <c r="AQ226" s="1">
        <v>0</v>
      </c>
      <c r="AR226" s="1">
        <v>0</v>
      </c>
      <c r="AS226" s="1">
        <v>0</v>
      </c>
      <c r="AT226" s="1">
        <v>0</v>
      </c>
      <c r="AU226" s="1">
        <v>0</v>
      </c>
      <c r="AV226" s="1">
        <v>0</v>
      </c>
      <c r="AW226" s="1">
        <v>0</v>
      </c>
      <c r="AX226" s="1">
        <v>0</v>
      </c>
      <c r="AY226" s="1">
        <v>0</v>
      </c>
      <c r="AZ226" s="1">
        <v>0</v>
      </c>
      <c r="BA226" s="1">
        <v>0</v>
      </c>
      <c r="BB226" s="3">
        <v>0</v>
      </c>
      <c r="BC226" s="1">
        <v>0</v>
      </c>
      <c r="BD226" s="1">
        <v>0</v>
      </c>
      <c r="BE226" s="1">
        <v>0</v>
      </c>
      <c r="BF226" s="1">
        <v>0</v>
      </c>
      <c r="BG226" s="1">
        <v>0</v>
      </c>
      <c r="BH226" s="1">
        <v>0</v>
      </c>
      <c r="BI226" s="1">
        <v>0</v>
      </c>
      <c r="BJ226" s="1">
        <v>0</v>
      </c>
      <c r="BK226" s="1">
        <v>0</v>
      </c>
      <c r="BL226" s="1">
        <v>0</v>
      </c>
      <c r="BM226" s="1">
        <v>0</v>
      </c>
      <c r="BN226" s="1">
        <v>0</v>
      </c>
      <c r="BO226" s="3">
        <v>0</v>
      </c>
      <c r="BP226" s="3">
        <f t="shared" si="4"/>
        <v>0</v>
      </c>
    </row>
    <row r="227" spans="1:69" s="2" customFormat="1" x14ac:dyDescent="0.2">
      <c r="A227" s="3" t="s">
        <v>304</v>
      </c>
      <c r="B227" s="2" t="s">
        <v>234</v>
      </c>
      <c r="C227" s="3">
        <v>3376</v>
      </c>
      <c r="D227" s="3">
        <v>2621</v>
      </c>
      <c r="E227" s="3">
        <v>2559</v>
      </c>
      <c r="F227" s="3">
        <v>2693</v>
      </c>
      <c r="G227" s="3">
        <v>2262</v>
      </c>
      <c r="H227" s="3">
        <v>2056</v>
      </c>
      <c r="I227" s="3">
        <v>2309</v>
      </c>
      <c r="J227" s="3">
        <v>2398</v>
      </c>
      <c r="K227" s="3">
        <v>2319</v>
      </c>
      <c r="L227" s="3">
        <v>3494</v>
      </c>
      <c r="M227" s="3">
        <v>3838</v>
      </c>
      <c r="N227" s="3">
        <v>5579</v>
      </c>
      <c r="O227" s="3">
        <v>35504</v>
      </c>
      <c r="P227" s="3">
        <v>2714</v>
      </c>
      <c r="Q227" s="3">
        <v>1924</v>
      </c>
      <c r="R227" s="3">
        <v>4829</v>
      </c>
      <c r="S227" s="3">
        <v>18281</v>
      </c>
      <c r="T227" s="3">
        <v>38103</v>
      </c>
      <c r="U227" s="3">
        <v>69925</v>
      </c>
      <c r="V227" s="3">
        <v>92773</v>
      </c>
      <c r="W227" s="3">
        <v>93151</v>
      </c>
      <c r="X227" s="3">
        <v>100114</v>
      </c>
      <c r="Y227" s="3">
        <v>102300</v>
      </c>
      <c r="Z227" s="3">
        <v>87973</v>
      </c>
      <c r="AA227" s="3">
        <v>110437</v>
      </c>
      <c r="AB227" s="3">
        <v>722524</v>
      </c>
      <c r="AC227" s="3">
        <v>106333</v>
      </c>
      <c r="AD227" s="3">
        <v>91581</v>
      </c>
      <c r="AE227" s="3">
        <v>103815</v>
      </c>
      <c r="AF227" s="3">
        <v>119109</v>
      </c>
      <c r="AG227" s="3">
        <v>132972</v>
      </c>
      <c r="AH227" s="3">
        <v>155114</v>
      </c>
      <c r="AI227" s="3">
        <v>165856</v>
      </c>
      <c r="AJ227" s="3">
        <v>151041</v>
      </c>
      <c r="AK227" s="3">
        <v>161099</v>
      </c>
      <c r="AL227" s="3">
        <v>151214</v>
      </c>
      <c r="AM227" s="3">
        <v>130018</v>
      </c>
      <c r="AN227" s="3">
        <v>157608</v>
      </c>
      <c r="AO227" s="3">
        <v>1625760</v>
      </c>
      <c r="AP227" s="3">
        <v>144089</v>
      </c>
      <c r="AQ227" s="3">
        <v>117351</v>
      </c>
      <c r="AR227" s="3">
        <v>139880</v>
      </c>
      <c r="AS227" s="3">
        <v>148511</v>
      </c>
      <c r="AT227" s="3">
        <v>158861</v>
      </c>
      <c r="AU227" s="3">
        <v>169280</v>
      </c>
      <c r="AV227" s="3">
        <v>197313</v>
      </c>
      <c r="AW227" s="3">
        <v>183289</v>
      </c>
      <c r="AX227" s="3">
        <v>188872</v>
      </c>
      <c r="AY227" s="3">
        <v>178935</v>
      </c>
      <c r="AZ227" s="3">
        <v>153883</v>
      </c>
      <c r="BA227" s="3">
        <v>177379</v>
      </c>
      <c r="BB227" s="3">
        <v>1957643</v>
      </c>
      <c r="BC227" s="3">
        <v>170404</v>
      </c>
      <c r="BD227" s="3">
        <v>126758</v>
      </c>
      <c r="BE227" s="3">
        <v>129119</v>
      </c>
      <c r="BF227" s="3">
        <v>175900</v>
      </c>
      <c r="BG227" s="3">
        <v>174742</v>
      </c>
      <c r="BH227" s="3">
        <v>187283</v>
      </c>
      <c r="BI227" s="3">
        <v>206228</v>
      </c>
      <c r="BJ227" s="3">
        <v>188972</v>
      </c>
      <c r="BK227" s="3">
        <v>197515</v>
      </c>
      <c r="BL227" s="3">
        <v>187913</v>
      </c>
      <c r="BM227" s="3">
        <v>161031</v>
      </c>
      <c r="BN227" s="3">
        <v>188575</v>
      </c>
      <c r="BO227" s="3">
        <v>2094440</v>
      </c>
      <c r="BP227" s="3"/>
      <c r="BQ227"/>
    </row>
    <row r="228" spans="1:69" x14ac:dyDescent="0.2">
      <c r="A228" s="3">
        <v>178</v>
      </c>
      <c r="B228" t="s">
        <v>235</v>
      </c>
      <c r="C228" s="1">
        <v>17</v>
      </c>
      <c r="D228" s="1">
        <v>35</v>
      </c>
      <c r="E228" s="1">
        <v>28</v>
      </c>
      <c r="F228" s="1">
        <v>55</v>
      </c>
      <c r="G228" s="1">
        <v>109</v>
      </c>
      <c r="H228" s="1">
        <v>104</v>
      </c>
      <c r="I228" s="1">
        <v>31</v>
      </c>
      <c r="J228" s="1">
        <v>8</v>
      </c>
      <c r="K228" s="1">
        <v>27</v>
      </c>
      <c r="L228" s="1">
        <v>72</v>
      </c>
      <c r="M228" s="1">
        <v>70</v>
      </c>
      <c r="N228" s="1">
        <v>16</v>
      </c>
      <c r="O228" s="3">
        <v>572</v>
      </c>
      <c r="P228" s="1">
        <v>71</v>
      </c>
      <c r="Q228" s="1">
        <v>124</v>
      </c>
      <c r="R228" s="1">
        <v>195</v>
      </c>
      <c r="S228" s="1">
        <v>543</v>
      </c>
      <c r="T228" s="1">
        <v>665</v>
      </c>
      <c r="U228" s="1">
        <v>1334</v>
      </c>
      <c r="V228" s="1">
        <v>1253</v>
      </c>
      <c r="W228" s="1">
        <v>1089</v>
      </c>
      <c r="X228" s="1">
        <v>1524</v>
      </c>
      <c r="Y228" s="1">
        <v>1554</v>
      </c>
      <c r="Z228" s="1">
        <v>1409</v>
      </c>
      <c r="AA228" s="1">
        <v>3506</v>
      </c>
      <c r="AB228" s="3">
        <v>13267</v>
      </c>
      <c r="AC228" s="1">
        <v>2041</v>
      </c>
      <c r="AD228" s="1">
        <v>1641</v>
      </c>
      <c r="AE228" s="1">
        <v>2580</v>
      </c>
      <c r="AF228" s="1">
        <v>2766</v>
      </c>
      <c r="AG228" s="1">
        <v>2127</v>
      </c>
      <c r="AH228" s="1">
        <v>3276</v>
      </c>
      <c r="AI228" s="1">
        <v>2913</v>
      </c>
      <c r="AJ228" s="1">
        <v>1981</v>
      </c>
      <c r="AK228" s="1">
        <v>2528</v>
      </c>
      <c r="AL228" s="1">
        <v>3207</v>
      </c>
      <c r="AM228" s="1">
        <v>2122</v>
      </c>
      <c r="AN228" s="1">
        <v>4690</v>
      </c>
      <c r="AO228" s="3">
        <v>31872</v>
      </c>
      <c r="AP228" s="1">
        <v>1836</v>
      </c>
      <c r="AQ228" s="1">
        <v>1768</v>
      </c>
      <c r="AR228" s="1">
        <v>2641</v>
      </c>
      <c r="AS228" s="1">
        <v>2234</v>
      </c>
      <c r="AT228" s="1">
        <v>2456</v>
      </c>
      <c r="AU228" s="1">
        <v>3271</v>
      </c>
      <c r="AV228" s="1">
        <v>2516</v>
      </c>
      <c r="AW228" s="1">
        <v>2072</v>
      </c>
      <c r="AX228" s="1">
        <v>3285</v>
      </c>
      <c r="AY228" s="1">
        <v>2823</v>
      </c>
      <c r="AZ228" s="1">
        <v>2299</v>
      </c>
      <c r="BA228" s="1">
        <v>5905</v>
      </c>
      <c r="BB228" s="3">
        <v>33106</v>
      </c>
      <c r="BC228" s="1">
        <v>2101</v>
      </c>
      <c r="BD228" s="1">
        <v>1455</v>
      </c>
      <c r="BE228" s="1">
        <v>2033</v>
      </c>
      <c r="BF228" s="1">
        <v>3209</v>
      </c>
      <c r="BG228" s="1">
        <v>2472</v>
      </c>
      <c r="BH228" s="1">
        <v>3757</v>
      </c>
      <c r="BI228" s="1">
        <v>3588</v>
      </c>
      <c r="BJ228" s="1">
        <v>2285</v>
      </c>
      <c r="BK228" s="1">
        <v>3426</v>
      </c>
      <c r="BL228" s="1">
        <v>3327</v>
      </c>
      <c r="BM228" s="1">
        <v>2487</v>
      </c>
      <c r="BN228" s="1">
        <v>6408</v>
      </c>
      <c r="BO228" s="3">
        <v>36548</v>
      </c>
      <c r="BP228" s="3">
        <f t="shared" si="4"/>
        <v>115365</v>
      </c>
    </row>
    <row r="229" spans="1:69" x14ac:dyDescent="0.2">
      <c r="A229" s="3">
        <v>179</v>
      </c>
      <c r="B229" t="s">
        <v>236</v>
      </c>
      <c r="C229" s="1">
        <v>5</v>
      </c>
      <c r="D229" s="1">
        <v>4</v>
      </c>
      <c r="E229" s="1">
        <v>5</v>
      </c>
      <c r="F229" s="1">
        <v>24</v>
      </c>
      <c r="G229" s="1">
        <v>27</v>
      </c>
      <c r="H229" s="1">
        <v>30</v>
      </c>
      <c r="I229" s="1">
        <v>8</v>
      </c>
      <c r="J229" s="1">
        <v>5</v>
      </c>
      <c r="K229" s="1">
        <v>9</v>
      </c>
      <c r="L229" s="1">
        <v>26</v>
      </c>
      <c r="M229" s="1">
        <v>25</v>
      </c>
      <c r="N229" s="1">
        <v>14</v>
      </c>
      <c r="O229" s="3">
        <v>182</v>
      </c>
      <c r="P229" s="1">
        <v>11</v>
      </c>
      <c r="Q229" s="1">
        <v>21</v>
      </c>
      <c r="R229" s="1">
        <v>41</v>
      </c>
      <c r="S229" s="1">
        <v>31</v>
      </c>
      <c r="T229" s="1">
        <v>103</v>
      </c>
      <c r="U229" s="1">
        <v>238</v>
      </c>
      <c r="V229" s="1">
        <v>444</v>
      </c>
      <c r="W229" s="1">
        <v>837</v>
      </c>
      <c r="X229" s="1">
        <v>598</v>
      </c>
      <c r="Y229" s="1">
        <v>510</v>
      </c>
      <c r="Z229" s="1">
        <v>408</v>
      </c>
      <c r="AA229" s="1">
        <v>421</v>
      </c>
      <c r="AB229" s="3">
        <v>3663</v>
      </c>
      <c r="AC229" s="1">
        <v>480</v>
      </c>
      <c r="AD229" s="1">
        <v>565</v>
      </c>
      <c r="AE229" s="1">
        <v>379</v>
      </c>
      <c r="AF229" s="1">
        <v>368</v>
      </c>
      <c r="AG229" s="1">
        <v>1025</v>
      </c>
      <c r="AH229" s="1">
        <v>686</v>
      </c>
      <c r="AI229" s="1">
        <v>1492</v>
      </c>
      <c r="AJ229" s="1">
        <v>2232</v>
      </c>
      <c r="AK229" s="1">
        <v>1479</v>
      </c>
      <c r="AL229" s="1">
        <v>984</v>
      </c>
      <c r="AM229" s="1">
        <v>779</v>
      </c>
      <c r="AN229" s="1">
        <v>772</v>
      </c>
      <c r="AO229" s="3">
        <v>11241</v>
      </c>
      <c r="AP229" s="1">
        <v>690</v>
      </c>
      <c r="AQ229" s="1">
        <v>788</v>
      </c>
      <c r="AR229" s="1">
        <v>306</v>
      </c>
      <c r="AS229" s="1">
        <v>1050</v>
      </c>
      <c r="AT229" s="1">
        <v>1560</v>
      </c>
      <c r="AU229" s="1">
        <v>1035</v>
      </c>
      <c r="AV229" s="1">
        <v>2183</v>
      </c>
      <c r="AW229" s="1">
        <v>3680</v>
      </c>
      <c r="AX229" s="1">
        <v>2189</v>
      </c>
      <c r="AY229" s="1">
        <v>1534</v>
      </c>
      <c r="AZ229" s="1">
        <v>931</v>
      </c>
      <c r="BA229" s="1">
        <v>824</v>
      </c>
      <c r="BB229" s="3">
        <v>16770</v>
      </c>
      <c r="BC229" s="1">
        <v>749</v>
      </c>
      <c r="BD229" s="1">
        <v>582</v>
      </c>
      <c r="BE229" s="1">
        <v>317</v>
      </c>
      <c r="BF229" s="1">
        <v>1206</v>
      </c>
      <c r="BG229" s="1">
        <v>1384</v>
      </c>
      <c r="BH229" s="1">
        <v>1468</v>
      </c>
      <c r="BI229" s="1">
        <v>2249</v>
      </c>
      <c r="BJ229" s="1">
        <v>3677</v>
      </c>
      <c r="BK229" s="1">
        <v>2145</v>
      </c>
      <c r="BL229" s="1">
        <v>1423</v>
      </c>
      <c r="BM229" s="1">
        <v>1180</v>
      </c>
      <c r="BN229" s="1">
        <v>1002</v>
      </c>
      <c r="BO229" s="3">
        <v>17382</v>
      </c>
      <c r="BP229" s="3">
        <f t="shared" si="4"/>
        <v>49238</v>
      </c>
    </row>
    <row r="230" spans="1:69" x14ac:dyDescent="0.2">
      <c r="A230" s="3">
        <v>180</v>
      </c>
      <c r="B230" t="s">
        <v>237</v>
      </c>
      <c r="C230" s="1">
        <v>45</v>
      </c>
      <c r="D230" s="1">
        <v>91</v>
      </c>
      <c r="E230" s="1">
        <v>66</v>
      </c>
      <c r="F230" s="1">
        <v>99</v>
      </c>
      <c r="G230" s="1">
        <v>239</v>
      </c>
      <c r="H230" s="1">
        <v>281</v>
      </c>
      <c r="I230" s="1">
        <v>139</v>
      </c>
      <c r="J230" s="1">
        <v>44</v>
      </c>
      <c r="K230" s="1">
        <v>105</v>
      </c>
      <c r="L230" s="1">
        <v>181</v>
      </c>
      <c r="M230" s="1">
        <v>165</v>
      </c>
      <c r="N230" s="1">
        <v>132</v>
      </c>
      <c r="O230" s="3">
        <v>1587</v>
      </c>
      <c r="P230" s="1">
        <v>236</v>
      </c>
      <c r="Q230" s="1">
        <v>287</v>
      </c>
      <c r="R230" s="1">
        <v>477</v>
      </c>
      <c r="S230" s="1">
        <v>366</v>
      </c>
      <c r="T230" s="1">
        <v>1069</v>
      </c>
      <c r="U230" s="1">
        <v>854</v>
      </c>
      <c r="V230" s="1">
        <v>1197</v>
      </c>
      <c r="W230" s="1">
        <v>1612</v>
      </c>
      <c r="X230" s="1">
        <v>1534</v>
      </c>
      <c r="Y230" s="1">
        <v>1707</v>
      </c>
      <c r="Z230" s="1">
        <v>1592</v>
      </c>
      <c r="AA230" s="1">
        <v>1821</v>
      </c>
      <c r="AB230" s="3">
        <v>12752</v>
      </c>
      <c r="AC230" s="1">
        <v>1227</v>
      </c>
      <c r="AD230" s="1">
        <v>1463</v>
      </c>
      <c r="AE230" s="1">
        <v>1449</v>
      </c>
      <c r="AF230" s="1">
        <v>1315</v>
      </c>
      <c r="AG230" s="1">
        <v>2242</v>
      </c>
      <c r="AH230" s="1">
        <v>2002</v>
      </c>
      <c r="AI230" s="1">
        <v>2936</v>
      </c>
      <c r="AJ230" s="1">
        <v>4187</v>
      </c>
      <c r="AK230" s="1">
        <v>3543</v>
      </c>
      <c r="AL230" s="1">
        <v>2971</v>
      </c>
      <c r="AM230" s="1">
        <v>2713</v>
      </c>
      <c r="AN230" s="1">
        <v>2491</v>
      </c>
      <c r="AO230" s="3">
        <v>28539</v>
      </c>
      <c r="AP230" s="1">
        <v>1937</v>
      </c>
      <c r="AQ230" s="1">
        <v>1901</v>
      </c>
      <c r="AR230" s="1">
        <v>1425</v>
      </c>
      <c r="AS230" s="1">
        <v>2356</v>
      </c>
      <c r="AT230" s="1">
        <v>3548</v>
      </c>
      <c r="AU230" s="1">
        <v>2359</v>
      </c>
      <c r="AV230" s="1">
        <v>4348</v>
      </c>
      <c r="AW230" s="1">
        <v>5565</v>
      </c>
      <c r="AX230" s="1">
        <v>4480</v>
      </c>
      <c r="AY230" s="1">
        <v>3778</v>
      </c>
      <c r="AZ230" s="1">
        <v>3645</v>
      </c>
      <c r="BA230" s="1">
        <v>3417</v>
      </c>
      <c r="BB230" s="3">
        <v>38759</v>
      </c>
      <c r="BC230" s="1">
        <v>2235</v>
      </c>
      <c r="BD230" s="1">
        <v>2218</v>
      </c>
      <c r="BE230" s="1">
        <v>1675</v>
      </c>
      <c r="BF230" s="1">
        <v>3215</v>
      </c>
      <c r="BG230" s="1">
        <v>3749</v>
      </c>
      <c r="BH230" s="1">
        <v>3725</v>
      </c>
      <c r="BI230" s="1">
        <v>6220</v>
      </c>
      <c r="BJ230" s="1">
        <v>6729</v>
      </c>
      <c r="BK230" s="1">
        <v>6027</v>
      </c>
      <c r="BL230" s="1">
        <v>5020</v>
      </c>
      <c r="BM230" s="1">
        <v>4296</v>
      </c>
      <c r="BN230" s="1">
        <v>4485</v>
      </c>
      <c r="BO230" s="3">
        <v>49594</v>
      </c>
      <c r="BP230" s="3">
        <f t="shared" si="4"/>
        <v>131231</v>
      </c>
    </row>
    <row r="231" spans="1:69" x14ac:dyDescent="0.2">
      <c r="A231" s="3">
        <v>181</v>
      </c>
      <c r="B231" t="s">
        <v>238</v>
      </c>
      <c r="C231" s="1">
        <v>3</v>
      </c>
      <c r="D231" s="1">
        <v>9</v>
      </c>
      <c r="E231" s="1">
        <v>3</v>
      </c>
      <c r="F231" s="1">
        <v>7</v>
      </c>
      <c r="G231" s="1">
        <v>9</v>
      </c>
      <c r="H231" s="1">
        <v>7</v>
      </c>
      <c r="I231" s="1">
        <v>3</v>
      </c>
      <c r="J231" s="1">
        <v>2</v>
      </c>
      <c r="K231" s="1">
        <v>4</v>
      </c>
      <c r="L231" s="1">
        <v>6</v>
      </c>
      <c r="M231" s="1">
        <v>9</v>
      </c>
      <c r="N231" s="1">
        <v>3</v>
      </c>
      <c r="O231" s="3">
        <v>65</v>
      </c>
      <c r="P231" s="1">
        <v>13</v>
      </c>
      <c r="Q231" s="1">
        <v>4</v>
      </c>
      <c r="R231" s="1">
        <v>40</v>
      </c>
      <c r="S231" s="1">
        <v>33</v>
      </c>
      <c r="T231" s="1">
        <v>63</v>
      </c>
      <c r="U231" s="1">
        <v>87</v>
      </c>
      <c r="V231" s="1">
        <v>54</v>
      </c>
      <c r="W231" s="1">
        <v>108</v>
      </c>
      <c r="X231" s="1">
        <v>88</v>
      </c>
      <c r="Y231" s="1">
        <v>146</v>
      </c>
      <c r="Z231" s="1">
        <v>134</v>
      </c>
      <c r="AA231" s="1">
        <v>176</v>
      </c>
      <c r="AB231" s="3">
        <v>946</v>
      </c>
      <c r="AC231" s="1">
        <v>97</v>
      </c>
      <c r="AD231" s="1">
        <v>125</v>
      </c>
      <c r="AE231" s="1">
        <v>131</v>
      </c>
      <c r="AF231" s="1">
        <v>184</v>
      </c>
      <c r="AG231" s="1">
        <v>197</v>
      </c>
      <c r="AH231" s="1">
        <v>196</v>
      </c>
      <c r="AI231" s="1">
        <v>275</v>
      </c>
      <c r="AJ231" s="1">
        <v>337</v>
      </c>
      <c r="AK231" s="1">
        <v>245</v>
      </c>
      <c r="AL231" s="1">
        <v>304</v>
      </c>
      <c r="AM231" s="1">
        <v>359</v>
      </c>
      <c r="AN231" s="1">
        <v>348</v>
      </c>
      <c r="AO231" s="3">
        <v>2798</v>
      </c>
      <c r="AP231" s="1">
        <v>243</v>
      </c>
      <c r="AQ231" s="1">
        <v>263</v>
      </c>
      <c r="AR231" s="1">
        <v>273</v>
      </c>
      <c r="AS231" s="1">
        <v>308</v>
      </c>
      <c r="AT231" s="1">
        <v>356</v>
      </c>
      <c r="AU231" s="1">
        <v>281</v>
      </c>
      <c r="AV231" s="1">
        <v>321</v>
      </c>
      <c r="AW231" s="1">
        <v>343</v>
      </c>
      <c r="AX231" s="1">
        <v>371</v>
      </c>
      <c r="AY231" s="1">
        <v>423</v>
      </c>
      <c r="AZ231" s="1">
        <v>483</v>
      </c>
      <c r="BA231" s="1">
        <v>643</v>
      </c>
      <c r="BB231" s="3">
        <v>4308</v>
      </c>
      <c r="BC231" s="1">
        <v>268</v>
      </c>
      <c r="BD231" s="1">
        <v>366</v>
      </c>
      <c r="BE231" s="1">
        <v>337</v>
      </c>
      <c r="BF231" s="1">
        <v>540</v>
      </c>
      <c r="BG231" s="1">
        <v>497</v>
      </c>
      <c r="BH231" s="1">
        <v>515</v>
      </c>
      <c r="BI231" s="1">
        <v>583</v>
      </c>
      <c r="BJ231" s="1">
        <v>543</v>
      </c>
      <c r="BK231" s="1">
        <v>463</v>
      </c>
      <c r="BL231" s="1">
        <v>572</v>
      </c>
      <c r="BM231" s="1">
        <v>588</v>
      </c>
      <c r="BN231" s="1">
        <v>826</v>
      </c>
      <c r="BO231" s="3">
        <v>6098</v>
      </c>
      <c r="BP231" s="3">
        <f t="shared" si="4"/>
        <v>14215</v>
      </c>
    </row>
    <row r="232" spans="1:69" x14ac:dyDescent="0.2">
      <c r="A232" s="3">
        <v>182</v>
      </c>
      <c r="B232" t="s">
        <v>239</v>
      </c>
      <c r="C232" s="1">
        <v>0</v>
      </c>
      <c r="D232" s="1">
        <v>1</v>
      </c>
      <c r="E232" s="1">
        <v>1</v>
      </c>
      <c r="F232" s="1">
        <v>8</v>
      </c>
      <c r="G232" s="1">
        <v>17</v>
      </c>
      <c r="H232" s="1">
        <v>7</v>
      </c>
      <c r="I232" s="1">
        <v>3</v>
      </c>
      <c r="J232" s="1">
        <v>2</v>
      </c>
      <c r="K232" s="1">
        <v>10</v>
      </c>
      <c r="L232" s="1">
        <v>9</v>
      </c>
      <c r="M232" s="1">
        <v>12</v>
      </c>
      <c r="N232" s="1">
        <v>5</v>
      </c>
      <c r="O232" s="3">
        <v>75</v>
      </c>
      <c r="P232" s="1">
        <v>8</v>
      </c>
      <c r="Q232" s="1">
        <v>14</v>
      </c>
      <c r="R232" s="1">
        <v>28</v>
      </c>
      <c r="S232" s="1">
        <v>55</v>
      </c>
      <c r="T232" s="1">
        <v>218</v>
      </c>
      <c r="U232" s="1">
        <v>222</v>
      </c>
      <c r="V232" s="1">
        <v>474</v>
      </c>
      <c r="W232" s="1">
        <v>584</v>
      </c>
      <c r="X232" s="1">
        <v>535</v>
      </c>
      <c r="Y232" s="1">
        <v>292</v>
      </c>
      <c r="Z232" s="1">
        <v>332</v>
      </c>
      <c r="AA232" s="1">
        <v>408</v>
      </c>
      <c r="AB232" s="3">
        <v>3170</v>
      </c>
      <c r="AC232" s="1">
        <v>228</v>
      </c>
      <c r="AD232" s="1">
        <v>298</v>
      </c>
      <c r="AE232" s="1">
        <v>292</v>
      </c>
      <c r="AF232" s="1">
        <v>220</v>
      </c>
      <c r="AG232" s="1">
        <v>800</v>
      </c>
      <c r="AH232" s="1">
        <v>517</v>
      </c>
      <c r="AI232" s="1">
        <v>1163</v>
      </c>
      <c r="AJ232" s="1">
        <v>1684</v>
      </c>
      <c r="AK232" s="1">
        <v>1383</v>
      </c>
      <c r="AL232" s="1">
        <v>820</v>
      </c>
      <c r="AM232" s="1">
        <v>558</v>
      </c>
      <c r="AN232" s="1">
        <v>600</v>
      </c>
      <c r="AO232" s="3">
        <v>8563</v>
      </c>
      <c r="AP232" s="1">
        <v>355</v>
      </c>
      <c r="AQ232" s="1">
        <v>405</v>
      </c>
      <c r="AR232" s="1">
        <v>181</v>
      </c>
      <c r="AS232" s="1">
        <v>775</v>
      </c>
      <c r="AT232" s="1">
        <v>946</v>
      </c>
      <c r="AU232" s="1">
        <v>542</v>
      </c>
      <c r="AV232" s="1">
        <v>1735</v>
      </c>
      <c r="AW232" s="1">
        <v>1831</v>
      </c>
      <c r="AX232" s="1">
        <v>1499</v>
      </c>
      <c r="AY232" s="1">
        <v>1035</v>
      </c>
      <c r="AZ232" s="1">
        <v>598</v>
      </c>
      <c r="BA232" s="1">
        <v>520</v>
      </c>
      <c r="BB232" s="3">
        <v>10422</v>
      </c>
      <c r="BC232" s="1">
        <v>365</v>
      </c>
      <c r="BD232" s="1">
        <v>354</v>
      </c>
      <c r="BE232" s="1">
        <v>168</v>
      </c>
      <c r="BF232" s="1">
        <v>809</v>
      </c>
      <c r="BG232" s="1">
        <v>919</v>
      </c>
      <c r="BH232" s="1">
        <v>801</v>
      </c>
      <c r="BI232" s="1">
        <v>1824</v>
      </c>
      <c r="BJ232" s="1">
        <v>1764</v>
      </c>
      <c r="BK232" s="1">
        <v>1738</v>
      </c>
      <c r="BL232" s="1">
        <v>1235</v>
      </c>
      <c r="BM232" s="1">
        <v>757</v>
      </c>
      <c r="BN232" s="1">
        <v>482</v>
      </c>
      <c r="BO232" s="3">
        <v>11216</v>
      </c>
      <c r="BP232" s="3">
        <f t="shared" si="4"/>
        <v>33446</v>
      </c>
    </row>
    <row r="233" spans="1:69" x14ac:dyDescent="0.2">
      <c r="A233" s="3">
        <v>183</v>
      </c>
      <c r="B233" t="s">
        <v>240</v>
      </c>
      <c r="C233" s="1">
        <v>1</v>
      </c>
      <c r="D233" s="1">
        <v>2</v>
      </c>
      <c r="E233" s="1">
        <v>4</v>
      </c>
      <c r="F233" s="1">
        <v>4</v>
      </c>
      <c r="G233" s="1">
        <v>10</v>
      </c>
      <c r="H233" s="1">
        <v>25</v>
      </c>
      <c r="I233" s="1">
        <v>5</v>
      </c>
      <c r="J233" s="1">
        <v>1</v>
      </c>
      <c r="K233" s="1">
        <v>9</v>
      </c>
      <c r="L233" s="1">
        <v>9</v>
      </c>
      <c r="M233" s="1">
        <v>11</v>
      </c>
      <c r="N233" s="1">
        <v>8</v>
      </c>
      <c r="O233" s="3">
        <v>89</v>
      </c>
      <c r="P233" s="1">
        <v>7</v>
      </c>
      <c r="Q233" s="1">
        <v>24</v>
      </c>
      <c r="R233" s="1">
        <v>33</v>
      </c>
      <c r="S233" s="1">
        <v>17</v>
      </c>
      <c r="T233" s="1">
        <v>40</v>
      </c>
      <c r="U233" s="1">
        <v>68</v>
      </c>
      <c r="V233" s="1">
        <v>82</v>
      </c>
      <c r="W233" s="1">
        <v>172</v>
      </c>
      <c r="X233" s="1">
        <v>148</v>
      </c>
      <c r="Y233" s="1">
        <v>113</v>
      </c>
      <c r="Z233" s="1">
        <v>107</v>
      </c>
      <c r="AA233" s="1">
        <v>104</v>
      </c>
      <c r="AB233" s="3">
        <v>915</v>
      </c>
      <c r="AC233" s="1">
        <v>93</v>
      </c>
      <c r="AD233" s="1">
        <v>132</v>
      </c>
      <c r="AE233" s="1">
        <v>109</v>
      </c>
      <c r="AF233" s="1">
        <v>60</v>
      </c>
      <c r="AG233" s="1">
        <v>215</v>
      </c>
      <c r="AH233" s="1">
        <v>199</v>
      </c>
      <c r="AI233" s="1">
        <v>272</v>
      </c>
      <c r="AJ233" s="1">
        <v>616</v>
      </c>
      <c r="AK233" s="1">
        <v>527</v>
      </c>
      <c r="AL233" s="1">
        <v>345</v>
      </c>
      <c r="AM233" s="1">
        <v>235</v>
      </c>
      <c r="AN233" s="1">
        <v>187</v>
      </c>
      <c r="AO233" s="3">
        <v>2990</v>
      </c>
      <c r="AP233" s="1">
        <v>185</v>
      </c>
      <c r="AQ233" s="1">
        <v>226</v>
      </c>
      <c r="AR233" s="1">
        <v>56</v>
      </c>
      <c r="AS233" s="1">
        <v>203</v>
      </c>
      <c r="AT233" s="1">
        <v>469</v>
      </c>
      <c r="AU233" s="1">
        <v>219</v>
      </c>
      <c r="AV233" s="1">
        <v>558</v>
      </c>
      <c r="AW233" s="1">
        <v>1312</v>
      </c>
      <c r="AX233" s="1">
        <v>917</v>
      </c>
      <c r="AY233" s="1">
        <v>544</v>
      </c>
      <c r="AZ233" s="1">
        <v>370</v>
      </c>
      <c r="BA233" s="1">
        <v>257</v>
      </c>
      <c r="BB233" s="3">
        <v>5316</v>
      </c>
      <c r="BC233" s="1">
        <v>232</v>
      </c>
      <c r="BD233" s="1">
        <v>171</v>
      </c>
      <c r="BE233" s="1">
        <v>56</v>
      </c>
      <c r="BF233" s="1">
        <v>294</v>
      </c>
      <c r="BG233" s="1">
        <v>409</v>
      </c>
      <c r="BH233" s="1">
        <v>444</v>
      </c>
      <c r="BI233" s="1">
        <v>768</v>
      </c>
      <c r="BJ233" s="1">
        <v>2019</v>
      </c>
      <c r="BK233" s="1">
        <v>1444</v>
      </c>
      <c r="BL233" s="1">
        <v>710</v>
      </c>
      <c r="BM233" s="1">
        <v>517</v>
      </c>
      <c r="BN233" s="1">
        <v>389</v>
      </c>
      <c r="BO233" s="3">
        <v>7453</v>
      </c>
      <c r="BP233" s="3">
        <f t="shared" si="4"/>
        <v>16763</v>
      </c>
    </row>
    <row r="234" spans="1:69" x14ac:dyDescent="0.2">
      <c r="A234" s="3">
        <v>184</v>
      </c>
      <c r="B234" t="s">
        <v>241</v>
      </c>
      <c r="C234" s="1">
        <v>4</v>
      </c>
      <c r="D234" s="1">
        <v>2</v>
      </c>
      <c r="E234" s="1">
        <v>0</v>
      </c>
      <c r="F234" s="1">
        <v>1</v>
      </c>
      <c r="G234" s="1">
        <v>2</v>
      </c>
      <c r="H234" s="1">
        <v>2</v>
      </c>
      <c r="I234" s="1">
        <v>3</v>
      </c>
      <c r="J234" s="1">
        <v>2</v>
      </c>
      <c r="K234" s="1">
        <v>2</v>
      </c>
      <c r="L234" s="1">
        <v>2</v>
      </c>
      <c r="M234" s="1">
        <v>7</v>
      </c>
      <c r="N234" s="1">
        <v>3</v>
      </c>
      <c r="O234" s="3">
        <v>30</v>
      </c>
      <c r="P234" s="1">
        <v>3</v>
      </c>
      <c r="Q234" s="1">
        <v>12</v>
      </c>
      <c r="R234" s="1">
        <v>6</v>
      </c>
      <c r="S234" s="1">
        <v>13</v>
      </c>
      <c r="T234" s="1">
        <v>33</v>
      </c>
      <c r="U234" s="1">
        <v>27</v>
      </c>
      <c r="V234" s="1">
        <v>49</v>
      </c>
      <c r="W234" s="1">
        <v>43</v>
      </c>
      <c r="X234" s="1">
        <v>64</v>
      </c>
      <c r="Y234" s="1">
        <v>57</v>
      </c>
      <c r="Z234" s="1">
        <v>120</v>
      </c>
      <c r="AA234" s="1">
        <v>94</v>
      </c>
      <c r="AB234" s="3">
        <v>521</v>
      </c>
      <c r="AC234" s="1">
        <v>54</v>
      </c>
      <c r="AD234" s="1">
        <v>90</v>
      </c>
      <c r="AE234" s="1">
        <v>115</v>
      </c>
      <c r="AF234" s="1">
        <v>107</v>
      </c>
      <c r="AG234" s="1">
        <v>114</v>
      </c>
      <c r="AH234" s="1">
        <v>110</v>
      </c>
      <c r="AI234" s="1">
        <v>113</v>
      </c>
      <c r="AJ234" s="1">
        <v>126</v>
      </c>
      <c r="AK234" s="1">
        <v>137</v>
      </c>
      <c r="AL234" s="1">
        <v>123</v>
      </c>
      <c r="AM234" s="1">
        <v>130</v>
      </c>
      <c r="AN234" s="1">
        <v>152</v>
      </c>
      <c r="AO234" s="3">
        <v>1371</v>
      </c>
      <c r="AP234" s="1">
        <v>90</v>
      </c>
      <c r="AQ234" s="1">
        <v>96</v>
      </c>
      <c r="AR234" s="1">
        <v>152</v>
      </c>
      <c r="AS234" s="1">
        <v>108</v>
      </c>
      <c r="AT234" s="1">
        <v>130</v>
      </c>
      <c r="AU234" s="1">
        <v>116</v>
      </c>
      <c r="AV234" s="1">
        <v>186</v>
      </c>
      <c r="AW234" s="1">
        <v>196</v>
      </c>
      <c r="AX234" s="1">
        <v>128</v>
      </c>
      <c r="AY234" s="1">
        <v>123</v>
      </c>
      <c r="AZ234" s="1">
        <v>231</v>
      </c>
      <c r="BA234" s="1">
        <v>280</v>
      </c>
      <c r="BB234" s="3">
        <v>1836</v>
      </c>
      <c r="BC234" s="1">
        <v>139</v>
      </c>
      <c r="BD234" s="1">
        <v>168</v>
      </c>
      <c r="BE234" s="1">
        <v>184</v>
      </c>
      <c r="BF234" s="1">
        <v>271</v>
      </c>
      <c r="BG234" s="1">
        <v>250</v>
      </c>
      <c r="BH234" s="1">
        <v>228</v>
      </c>
      <c r="BI234" s="1">
        <v>236</v>
      </c>
      <c r="BJ234" s="1">
        <v>288</v>
      </c>
      <c r="BK234" s="1">
        <v>306</v>
      </c>
      <c r="BL234" s="1">
        <v>220</v>
      </c>
      <c r="BM234" s="1">
        <v>477</v>
      </c>
      <c r="BN234" s="1">
        <v>566</v>
      </c>
      <c r="BO234" s="3">
        <v>3333</v>
      </c>
      <c r="BP234" s="3">
        <f t="shared" si="4"/>
        <v>7091</v>
      </c>
    </row>
    <row r="235" spans="1:69" x14ac:dyDescent="0.2">
      <c r="A235" s="3">
        <v>185</v>
      </c>
      <c r="B235" t="s">
        <v>242</v>
      </c>
      <c r="C235" s="1">
        <v>13</v>
      </c>
      <c r="D235" s="1">
        <v>13</v>
      </c>
      <c r="E235" s="1">
        <v>6</v>
      </c>
      <c r="F235" s="1">
        <v>5</v>
      </c>
      <c r="G235" s="1">
        <v>18</v>
      </c>
      <c r="H235" s="1">
        <v>8</v>
      </c>
      <c r="I235" s="1">
        <v>3</v>
      </c>
      <c r="J235" s="1">
        <v>3</v>
      </c>
      <c r="K235" s="1">
        <v>10</v>
      </c>
      <c r="L235" s="1">
        <v>13</v>
      </c>
      <c r="M235" s="1">
        <v>10</v>
      </c>
      <c r="N235" s="1">
        <v>8</v>
      </c>
      <c r="O235" s="3">
        <v>110</v>
      </c>
      <c r="P235" s="1">
        <v>18</v>
      </c>
      <c r="Q235" s="1">
        <v>27</v>
      </c>
      <c r="R235" s="1">
        <v>22</v>
      </c>
      <c r="S235" s="1">
        <v>22</v>
      </c>
      <c r="T235" s="1">
        <v>44</v>
      </c>
      <c r="U235" s="1">
        <v>33</v>
      </c>
      <c r="V235" s="1">
        <v>43</v>
      </c>
      <c r="W235" s="1">
        <v>41</v>
      </c>
      <c r="X235" s="1">
        <v>61</v>
      </c>
      <c r="Y235" s="1">
        <v>61</v>
      </c>
      <c r="Z235" s="1">
        <v>56</v>
      </c>
      <c r="AA235" s="1">
        <v>56</v>
      </c>
      <c r="AB235" s="3">
        <v>484</v>
      </c>
      <c r="AC235" s="1">
        <v>55</v>
      </c>
      <c r="AD235" s="1">
        <v>52</v>
      </c>
      <c r="AE235" s="1">
        <v>61</v>
      </c>
      <c r="AF235" s="1">
        <v>50</v>
      </c>
      <c r="AG235" s="1">
        <v>57</v>
      </c>
      <c r="AH235" s="1">
        <v>78</v>
      </c>
      <c r="AI235" s="1">
        <v>72</v>
      </c>
      <c r="AJ235" s="1">
        <v>61</v>
      </c>
      <c r="AK235" s="1">
        <v>122</v>
      </c>
      <c r="AL235" s="1">
        <v>101</v>
      </c>
      <c r="AM235" s="1">
        <v>148</v>
      </c>
      <c r="AN235" s="1">
        <v>119</v>
      </c>
      <c r="AO235" s="3">
        <v>976</v>
      </c>
      <c r="AP235" s="1">
        <v>207</v>
      </c>
      <c r="AQ235" s="1">
        <v>95</v>
      </c>
      <c r="AR235" s="1">
        <v>67</v>
      </c>
      <c r="AS235" s="1">
        <v>80</v>
      </c>
      <c r="AT235" s="1">
        <v>116</v>
      </c>
      <c r="AU235" s="1">
        <v>89</v>
      </c>
      <c r="AV235" s="1">
        <v>96</v>
      </c>
      <c r="AW235" s="1">
        <v>142</v>
      </c>
      <c r="AX235" s="1">
        <v>105</v>
      </c>
      <c r="AY235" s="1">
        <v>145</v>
      </c>
      <c r="AZ235" s="1">
        <v>143</v>
      </c>
      <c r="BA235" s="1">
        <v>188</v>
      </c>
      <c r="BB235" s="3">
        <v>1473</v>
      </c>
      <c r="BC235" s="1">
        <v>108</v>
      </c>
      <c r="BD235" s="1">
        <v>116</v>
      </c>
      <c r="BE235" s="1">
        <v>86</v>
      </c>
      <c r="BF235" s="1">
        <v>99</v>
      </c>
      <c r="BG235" s="1">
        <v>137</v>
      </c>
      <c r="BH235" s="1">
        <v>153</v>
      </c>
      <c r="BI235" s="1">
        <v>174</v>
      </c>
      <c r="BJ235" s="1">
        <v>156</v>
      </c>
      <c r="BK235" s="1">
        <v>139</v>
      </c>
      <c r="BL235" s="1">
        <v>163</v>
      </c>
      <c r="BM235" s="1">
        <v>210</v>
      </c>
      <c r="BN235" s="1">
        <v>250</v>
      </c>
      <c r="BO235" s="3">
        <v>1791</v>
      </c>
      <c r="BP235" s="3">
        <f t="shared" si="4"/>
        <v>4834</v>
      </c>
    </row>
    <row r="236" spans="1:69" x14ac:dyDescent="0.2">
      <c r="A236" s="3">
        <v>186</v>
      </c>
      <c r="B236" t="s">
        <v>243</v>
      </c>
      <c r="C236" s="1">
        <v>0</v>
      </c>
      <c r="D236" s="1">
        <v>5</v>
      </c>
      <c r="E236" s="1">
        <v>2</v>
      </c>
      <c r="F236" s="1">
        <v>3</v>
      </c>
      <c r="G236" s="1">
        <v>14</v>
      </c>
      <c r="H236" s="1">
        <v>9</v>
      </c>
      <c r="I236" s="1">
        <v>4</v>
      </c>
      <c r="J236" s="1">
        <v>1</v>
      </c>
      <c r="K236" s="1">
        <v>2</v>
      </c>
      <c r="L236" s="1">
        <v>13</v>
      </c>
      <c r="M236" s="1">
        <v>9</v>
      </c>
      <c r="N236" s="1">
        <v>7</v>
      </c>
      <c r="O236" s="3">
        <v>69</v>
      </c>
      <c r="P236" s="1">
        <v>5</v>
      </c>
      <c r="Q236" s="1">
        <v>2</v>
      </c>
      <c r="R236" s="1">
        <v>5</v>
      </c>
      <c r="S236" s="1">
        <v>10</v>
      </c>
      <c r="T236" s="1">
        <v>22</v>
      </c>
      <c r="U236" s="1">
        <v>50</v>
      </c>
      <c r="V236" s="1">
        <v>74</v>
      </c>
      <c r="W236" s="1">
        <v>57</v>
      </c>
      <c r="X236" s="1">
        <v>77</v>
      </c>
      <c r="Y236" s="1">
        <v>89</v>
      </c>
      <c r="Z236" s="1">
        <v>102</v>
      </c>
      <c r="AA236" s="1">
        <v>79</v>
      </c>
      <c r="AB236" s="3">
        <v>572</v>
      </c>
      <c r="AC236" s="1">
        <v>75</v>
      </c>
      <c r="AD236" s="1">
        <v>84</v>
      </c>
      <c r="AE236" s="1">
        <v>43</v>
      </c>
      <c r="AF236" s="1">
        <v>32</v>
      </c>
      <c r="AG236" s="1">
        <v>93</v>
      </c>
      <c r="AH236" s="1">
        <v>61</v>
      </c>
      <c r="AI236" s="1">
        <v>98</v>
      </c>
      <c r="AJ236" s="1">
        <v>143</v>
      </c>
      <c r="AK236" s="1">
        <v>175</v>
      </c>
      <c r="AL236" s="1">
        <v>166</v>
      </c>
      <c r="AM236" s="1">
        <v>134</v>
      </c>
      <c r="AN236" s="1">
        <v>142</v>
      </c>
      <c r="AO236" s="3">
        <v>1246</v>
      </c>
      <c r="AP236" s="1">
        <v>119</v>
      </c>
      <c r="AQ236" s="1">
        <v>81</v>
      </c>
      <c r="AR236" s="1">
        <v>15</v>
      </c>
      <c r="AS236" s="1">
        <v>54</v>
      </c>
      <c r="AT236" s="1">
        <v>124</v>
      </c>
      <c r="AU236" s="1">
        <v>131</v>
      </c>
      <c r="AV236" s="1">
        <v>154</v>
      </c>
      <c r="AW236" s="1">
        <v>191</v>
      </c>
      <c r="AX236" s="1">
        <v>255</v>
      </c>
      <c r="AY236" s="1">
        <v>160</v>
      </c>
      <c r="AZ236" s="1">
        <v>175</v>
      </c>
      <c r="BA236" s="1">
        <v>158</v>
      </c>
      <c r="BB236" s="3">
        <v>1617</v>
      </c>
      <c r="BC236" s="1">
        <v>142</v>
      </c>
      <c r="BD236" s="1">
        <v>91</v>
      </c>
      <c r="BE236" s="1">
        <v>21</v>
      </c>
      <c r="BF236" s="1">
        <v>128</v>
      </c>
      <c r="BG236" s="1">
        <v>167</v>
      </c>
      <c r="BH236" s="1">
        <v>154</v>
      </c>
      <c r="BI236" s="1">
        <v>210</v>
      </c>
      <c r="BJ236" s="1">
        <v>279</v>
      </c>
      <c r="BK236" s="1">
        <v>289</v>
      </c>
      <c r="BL236" s="1">
        <v>199</v>
      </c>
      <c r="BM236" s="1">
        <v>202</v>
      </c>
      <c r="BN236" s="1">
        <v>203</v>
      </c>
      <c r="BO236" s="3">
        <v>2085</v>
      </c>
      <c r="BP236" s="3">
        <f t="shared" si="4"/>
        <v>5589</v>
      </c>
    </row>
    <row r="237" spans="1:69" x14ac:dyDescent="0.2">
      <c r="A237" s="3">
        <v>187</v>
      </c>
      <c r="B237" t="s">
        <v>244</v>
      </c>
      <c r="C237" s="1">
        <v>2</v>
      </c>
      <c r="D237" s="1">
        <v>10</v>
      </c>
      <c r="E237" s="1">
        <v>6</v>
      </c>
      <c r="F237" s="1">
        <v>13</v>
      </c>
      <c r="G237" s="1">
        <v>76</v>
      </c>
      <c r="H237" s="1">
        <v>121</v>
      </c>
      <c r="I237" s="1">
        <v>71</v>
      </c>
      <c r="J237" s="1">
        <v>2</v>
      </c>
      <c r="K237" s="1">
        <v>27</v>
      </c>
      <c r="L237" s="1">
        <v>83</v>
      </c>
      <c r="M237" s="1">
        <v>30</v>
      </c>
      <c r="N237" s="1">
        <v>19</v>
      </c>
      <c r="O237" s="3">
        <v>460</v>
      </c>
      <c r="P237" s="1">
        <v>67</v>
      </c>
      <c r="Q237" s="1">
        <v>74</v>
      </c>
      <c r="R237" s="1">
        <v>92</v>
      </c>
      <c r="S237" s="1">
        <v>90</v>
      </c>
      <c r="T237" s="1">
        <v>94</v>
      </c>
      <c r="U237" s="1">
        <v>86</v>
      </c>
      <c r="V237" s="1">
        <v>93</v>
      </c>
      <c r="W237" s="1">
        <v>127</v>
      </c>
      <c r="X237" s="1">
        <v>92</v>
      </c>
      <c r="Y237" s="1">
        <v>250</v>
      </c>
      <c r="Z237" s="1">
        <v>139</v>
      </c>
      <c r="AA237" s="1">
        <v>149</v>
      </c>
      <c r="AB237" s="3">
        <v>1353</v>
      </c>
      <c r="AC237" s="1">
        <v>80</v>
      </c>
      <c r="AD237" s="1">
        <v>156</v>
      </c>
      <c r="AE237" s="1">
        <v>128</v>
      </c>
      <c r="AF237" s="1">
        <v>145</v>
      </c>
      <c r="AG237" s="1">
        <v>126</v>
      </c>
      <c r="AH237" s="1">
        <v>144</v>
      </c>
      <c r="AI237" s="1">
        <v>128</v>
      </c>
      <c r="AJ237" s="1">
        <v>147</v>
      </c>
      <c r="AK237" s="1">
        <v>138</v>
      </c>
      <c r="AL237" s="1">
        <v>251</v>
      </c>
      <c r="AM237" s="1">
        <v>142</v>
      </c>
      <c r="AN237" s="1">
        <v>87</v>
      </c>
      <c r="AO237" s="3">
        <v>1672</v>
      </c>
      <c r="AP237" s="1">
        <v>61</v>
      </c>
      <c r="AQ237" s="1">
        <v>124</v>
      </c>
      <c r="AR237" s="1">
        <v>87</v>
      </c>
      <c r="AS237" s="1">
        <v>110</v>
      </c>
      <c r="AT237" s="1">
        <v>169</v>
      </c>
      <c r="AU237" s="1">
        <v>84</v>
      </c>
      <c r="AV237" s="1">
        <v>122</v>
      </c>
      <c r="AW237" s="1">
        <v>109</v>
      </c>
      <c r="AX237" s="1">
        <v>173</v>
      </c>
      <c r="AY237" s="1">
        <v>270</v>
      </c>
      <c r="AZ237" s="1">
        <v>241</v>
      </c>
      <c r="BA237" s="1">
        <v>103</v>
      </c>
      <c r="BB237" s="3">
        <v>1653</v>
      </c>
      <c r="BC237" s="1">
        <v>103</v>
      </c>
      <c r="BD237" s="1">
        <v>162</v>
      </c>
      <c r="BE237" s="1">
        <v>150</v>
      </c>
      <c r="BF237" s="1">
        <v>137</v>
      </c>
      <c r="BG237" s="1">
        <v>251</v>
      </c>
      <c r="BH237" s="1">
        <v>228</v>
      </c>
      <c r="BI237" s="1">
        <v>254</v>
      </c>
      <c r="BJ237" s="1">
        <v>193</v>
      </c>
      <c r="BK237" s="1">
        <v>233</v>
      </c>
      <c r="BL237" s="1">
        <v>359</v>
      </c>
      <c r="BM237" s="1">
        <v>189</v>
      </c>
      <c r="BN237" s="1">
        <v>183</v>
      </c>
      <c r="BO237" s="3">
        <v>2442</v>
      </c>
      <c r="BP237" s="3">
        <f t="shared" si="4"/>
        <v>7580</v>
      </c>
    </row>
    <row r="238" spans="1:69" x14ac:dyDescent="0.2">
      <c r="A238" s="3">
        <v>188</v>
      </c>
      <c r="B238" t="s">
        <v>245</v>
      </c>
      <c r="C238" s="1">
        <v>4</v>
      </c>
      <c r="D238" s="1">
        <v>6</v>
      </c>
      <c r="E238" s="1">
        <v>4</v>
      </c>
      <c r="F238" s="1">
        <v>3</v>
      </c>
      <c r="G238" s="1">
        <v>5</v>
      </c>
      <c r="H238" s="1">
        <v>1</v>
      </c>
      <c r="I238" s="1">
        <v>2</v>
      </c>
      <c r="J238" s="1">
        <v>1</v>
      </c>
      <c r="K238" s="1">
        <v>3</v>
      </c>
      <c r="L238" s="1">
        <v>5</v>
      </c>
      <c r="M238" s="1">
        <v>10</v>
      </c>
      <c r="N238" s="1">
        <v>7</v>
      </c>
      <c r="O238" s="3">
        <v>51</v>
      </c>
      <c r="P238" s="1">
        <v>11</v>
      </c>
      <c r="Q238" s="1">
        <v>10</v>
      </c>
      <c r="R238" s="1">
        <v>18</v>
      </c>
      <c r="S238" s="1">
        <v>6</v>
      </c>
      <c r="T238" s="1">
        <v>16</v>
      </c>
      <c r="U238" s="1">
        <v>23</v>
      </c>
      <c r="V238" s="1">
        <v>3</v>
      </c>
      <c r="W238" s="1">
        <v>20</v>
      </c>
      <c r="X238" s="1">
        <v>23</v>
      </c>
      <c r="Y238" s="1">
        <v>45</v>
      </c>
      <c r="Z238" s="1">
        <v>23</v>
      </c>
      <c r="AA238" s="1">
        <v>45</v>
      </c>
      <c r="AB238" s="3">
        <v>243</v>
      </c>
      <c r="AC238" s="1">
        <v>25</v>
      </c>
      <c r="AD238" s="1">
        <v>11</v>
      </c>
      <c r="AE238" s="1">
        <v>13</v>
      </c>
      <c r="AF238" s="1">
        <v>8</v>
      </c>
      <c r="AG238" s="1">
        <v>44</v>
      </c>
      <c r="AH238" s="1">
        <v>43</v>
      </c>
      <c r="AI238" s="1">
        <v>40</v>
      </c>
      <c r="AJ238" s="1">
        <v>35</v>
      </c>
      <c r="AK238" s="1">
        <v>33</v>
      </c>
      <c r="AL238" s="1">
        <v>45</v>
      </c>
      <c r="AM238" s="1">
        <v>35</v>
      </c>
      <c r="AN238" s="1">
        <v>91</v>
      </c>
      <c r="AO238" s="3">
        <v>423</v>
      </c>
      <c r="AP238" s="1">
        <v>57</v>
      </c>
      <c r="AQ238" s="1">
        <v>38</v>
      </c>
      <c r="AR238" s="1">
        <v>13</v>
      </c>
      <c r="AS238" s="1">
        <v>18</v>
      </c>
      <c r="AT238" s="1">
        <v>40</v>
      </c>
      <c r="AU238" s="1">
        <v>21</v>
      </c>
      <c r="AV238" s="1">
        <v>57</v>
      </c>
      <c r="AW238" s="1">
        <v>77</v>
      </c>
      <c r="AX238" s="1">
        <v>32</v>
      </c>
      <c r="AY238" s="1">
        <v>42</v>
      </c>
      <c r="AZ238" s="1">
        <v>66</v>
      </c>
      <c r="BA238" s="1">
        <v>95</v>
      </c>
      <c r="BB238" s="3">
        <v>556</v>
      </c>
      <c r="BC238" s="1">
        <v>50</v>
      </c>
      <c r="BD238" s="1">
        <v>37</v>
      </c>
      <c r="BE238" s="1">
        <v>27</v>
      </c>
      <c r="BF238" s="1">
        <v>52</v>
      </c>
      <c r="BG238" s="1">
        <v>56</v>
      </c>
      <c r="BH238" s="1">
        <v>72</v>
      </c>
      <c r="BI238" s="1">
        <v>147</v>
      </c>
      <c r="BJ238" s="1">
        <v>56</v>
      </c>
      <c r="BK238" s="1">
        <v>57</v>
      </c>
      <c r="BL238" s="1">
        <v>78</v>
      </c>
      <c r="BM238" s="1">
        <v>65</v>
      </c>
      <c r="BN238" s="1">
        <v>194</v>
      </c>
      <c r="BO238" s="3">
        <v>891</v>
      </c>
      <c r="BP238" s="3">
        <f t="shared" si="4"/>
        <v>2164</v>
      </c>
    </row>
    <row r="239" spans="1:69" x14ac:dyDescent="0.2">
      <c r="A239" s="3">
        <v>189</v>
      </c>
      <c r="B239" t="s">
        <v>246</v>
      </c>
      <c r="C239" s="1">
        <v>0</v>
      </c>
      <c r="D239" s="1">
        <v>2</v>
      </c>
      <c r="E239" s="1">
        <v>0</v>
      </c>
      <c r="F239" s="1">
        <v>2</v>
      </c>
      <c r="G239" s="1">
        <v>0</v>
      </c>
      <c r="H239" s="1">
        <v>2</v>
      </c>
      <c r="I239" s="1">
        <v>0</v>
      </c>
      <c r="J239" s="1">
        <v>2</v>
      </c>
      <c r="K239" s="1">
        <v>0</v>
      </c>
      <c r="L239" s="1">
        <v>8</v>
      </c>
      <c r="M239" s="1">
        <v>5</v>
      </c>
      <c r="N239" s="1">
        <v>1</v>
      </c>
      <c r="O239" s="3">
        <v>22</v>
      </c>
      <c r="P239" s="1">
        <v>6</v>
      </c>
      <c r="Q239" s="1">
        <v>6</v>
      </c>
      <c r="R239" s="1">
        <v>19</v>
      </c>
      <c r="S239" s="1">
        <v>14</v>
      </c>
      <c r="T239" s="1">
        <v>71</v>
      </c>
      <c r="U239" s="1">
        <v>22</v>
      </c>
      <c r="V239" s="1">
        <v>31</v>
      </c>
      <c r="W239" s="1">
        <v>20</v>
      </c>
      <c r="X239" s="1">
        <v>60</v>
      </c>
      <c r="Y239" s="1">
        <v>57</v>
      </c>
      <c r="Z239" s="1">
        <v>56</v>
      </c>
      <c r="AA239" s="1">
        <v>83</v>
      </c>
      <c r="AB239" s="3">
        <v>445</v>
      </c>
      <c r="AC239" s="1">
        <v>60</v>
      </c>
      <c r="AD239" s="1">
        <v>59</v>
      </c>
      <c r="AE239" s="1">
        <v>68</v>
      </c>
      <c r="AF239" s="1">
        <v>56</v>
      </c>
      <c r="AG239" s="1">
        <v>102</v>
      </c>
      <c r="AH239" s="1">
        <v>73</v>
      </c>
      <c r="AI239" s="1">
        <v>75</v>
      </c>
      <c r="AJ239" s="1">
        <v>133</v>
      </c>
      <c r="AK239" s="1">
        <v>108</v>
      </c>
      <c r="AL239" s="1">
        <v>108</v>
      </c>
      <c r="AM239" s="1">
        <v>85</v>
      </c>
      <c r="AN239" s="1">
        <v>147</v>
      </c>
      <c r="AO239" s="3">
        <v>1074</v>
      </c>
      <c r="AP239" s="1">
        <v>95</v>
      </c>
      <c r="AQ239" s="1">
        <v>45</v>
      </c>
      <c r="AR239" s="1">
        <v>107</v>
      </c>
      <c r="AS239" s="1">
        <v>73</v>
      </c>
      <c r="AT239" s="1">
        <v>85</v>
      </c>
      <c r="AU239" s="1">
        <v>127</v>
      </c>
      <c r="AV239" s="1">
        <v>137</v>
      </c>
      <c r="AW239" s="1">
        <v>166</v>
      </c>
      <c r="AX239" s="1">
        <v>136</v>
      </c>
      <c r="AY239" s="1">
        <v>139</v>
      </c>
      <c r="AZ239" s="1">
        <v>156</v>
      </c>
      <c r="BA239" s="1">
        <v>200</v>
      </c>
      <c r="BB239" s="3">
        <v>1466</v>
      </c>
      <c r="BC239" s="1">
        <v>81</v>
      </c>
      <c r="BD239" s="1">
        <v>88</v>
      </c>
      <c r="BE239" s="1">
        <v>93</v>
      </c>
      <c r="BF239" s="1">
        <v>137</v>
      </c>
      <c r="BG239" s="1">
        <v>95</v>
      </c>
      <c r="BH239" s="1">
        <v>121</v>
      </c>
      <c r="BI239" s="1">
        <v>141</v>
      </c>
      <c r="BJ239" s="1">
        <v>146</v>
      </c>
      <c r="BK239" s="1">
        <v>162</v>
      </c>
      <c r="BL239" s="1">
        <v>192</v>
      </c>
      <c r="BM239" s="1">
        <v>113</v>
      </c>
      <c r="BN239" s="1">
        <v>296</v>
      </c>
      <c r="BO239" s="3">
        <v>1665</v>
      </c>
      <c r="BP239" s="3">
        <f t="shared" si="4"/>
        <v>4672</v>
      </c>
    </row>
    <row r="240" spans="1:69" x14ac:dyDescent="0.2">
      <c r="A240" s="3">
        <v>190</v>
      </c>
      <c r="B240" t="s">
        <v>247</v>
      </c>
      <c r="C240" s="1">
        <v>2</v>
      </c>
      <c r="D240" s="1">
        <v>3</v>
      </c>
      <c r="E240" s="1">
        <v>4</v>
      </c>
      <c r="F240" s="1">
        <v>3</v>
      </c>
      <c r="G240" s="1">
        <v>7</v>
      </c>
      <c r="H240" s="1">
        <v>17</v>
      </c>
      <c r="I240" s="1">
        <v>5</v>
      </c>
      <c r="J240" s="1">
        <v>4</v>
      </c>
      <c r="K240" s="1">
        <v>8</v>
      </c>
      <c r="L240" s="1">
        <v>8</v>
      </c>
      <c r="M240" s="1">
        <v>15</v>
      </c>
      <c r="N240" s="1">
        <v>25</v>
      </c>
      <c r="O240" s="3">
        <v>101</v>
      </c>
      <c r="P240" s="1">
        <v>14</v>
      </c>
      <c r="Q240" s="1">
        <v>19</v>
      </c>
      <c r="R240" s="1">
        <v>24</v>
      </c>
      <c r="S240" s="1">
        <v>22</v>
      </c>
      <c r="T240" s="1">
        <v>54</v>
      </c>
      <c r="U240" s="1">
        <v>54</v>
      </c>
      <c r="V240" s="1">
        <v>83</v>
      </c>
      <c r="W240" s="1">
        <v>109</v>
      </c>
      <c r="X240" s="1">
        <v>64</v>
      </c>
      <c r="Y240" s="1">
        <v>94</v>
      </c>
      <c r="Z240" s="1">
        <v>96</v>
      </c>
      <c r="AA240" s="1">
        <v>186</v>
      </c>
      <c r="AB240" s="3">
        <v>819</v>
      </c>
      <c r="AC240" s="1">
        <v>188</v>
      </c>
      <c r="AD240" s="1">
        <v>177</v>
      </c>
      <c r="AE240" s="1">
        <v>85</v>
      </c>
      <c r="AF240" s="1">
        <v>46</v>
      </c>
      <c r="AG240" s="1">
        <v>69</v>
      </c>
      <c r="AH240" s="1">
        <v>79</v>
      </c>
      <c r="AI240" s="1">
        <v>109</v>
      </c>
      <c r="AJ240" s="1">
        <v>153</v>
      </c>
      <c r="AK240" s="1">
        <v>131</v>
      </c>
      <c r="AL240" s="1">
        <v>135</v>
      </c>
      <c r="AM240" s="1">
        <v>180</v>
      </c>
      <c r="AN240" s="1">
        <v>111</v>
      </c>
      <c r="AO240" s="3">
        <v>1463</v>
      </c>
      <c r="AP240" s="1">
        <v>132</v>
      </c>
      <c r="AQ240" s="1">
        <v>139</v>
      </c>
      <c r="AR240" s="1">
        <v>61</v>
      </c>
      <c r="AS240" s="1">
        <v>155</v>
      </c>
      <c r="AT240" s="1">
        <v>178</v>
      </c>
      <c r="AU240" s="1">
        <v>161</v>
      </c>
      <c r="AV240" s="1">
        <v>234</v>
      </c>
      <c r="AW240" s="1">
        <v>197</v>
      </c>
      <c r="AX240" s="1">
        <v>156</v>
      </c>
      <c r="AY240" s="1">
        <v>168</v>
      </c>
      <c r="AZ240" s="1">
        <v>170</v>
      </c>
      <c r="BA240" s="1">
        <v>261</v>
      </c>
      <c r="BB240" s="3">
        <v>2012</v>
      </c>
      <c r="BC240" s="1">
        <v>186</v>
      </c>
      <c r="BD240" s="1">
        <v>132</v>
      </c>
      <c r="BE240" s="1">
        <v>71</v>
      </c>
      <c r="BF240" s="1">
        <v>166</v>
      </c>
      <c r="BG240" s="1">
        <v>153</v>
      </c>
      <c r="BH240" s="1">
        <v>279</v>
      </c>
      <c r="BI240" s="1">
        <v>373</v>
      </c>
      <c r="BJ240" s="1">
        <v>348</v>
      </c>
      <c r="BK240" s="1">
        <v>255</v>
      </c>
      <c r="BL240" s="1">
        <v>245</v>
      </c>
      <c r="BM240" s="1">
        <v>207</v>
      </c>
      <c r="BN240" s="1">
        <v>145</v>
      </c>
      <c r="BO240" s="3">
        <v>2560</v>
      </c>
      <c r="BP240" s="3">
        <f t="shared" si="4"/>
        <v>6955</v>
      </c>
    </row>
    <row r="241" spans="1:68" x14ac:dyDescent="0.2">
      <c r="A241" s="3">
        <v>191</v>
      </c>
      <c r="B241" t="s">
        <v>248</v>
      </c>
      <c r="C241" s="1">
        <v>0</v>
      </c>
      <c r="D241" s="1">
        <v>0</v>
      </c>
      <c r="E241" s="1">
        <v>0</v>
      </c>
      <c r="F241" s="1">
        <v>2</v>
      </c>
      <c r="G241" s="1">
        <v>1</v>
      </c>
      <c r="H241" s="1">
        <v>3</v>
      </c>
      <c r="I241" s="1">
        <v>1</v>
      </c>
      <c r="J241" s="1">
        <v>1</v>
      </c>
      <c r="K241" s="1">
        <v>0</v>
      </c>
      <c r="L241" s="1">
        <v>1</v>
      </c>
      <c r="M241" s="1">
        <v>0</v>
      </c>
      <c r="N241" s="1">
        <v>4</v>
      </c>
      <c r="O241" s="3">
        <v>13</v>
      </c>
      <c r="P241" s="1">
        <v>3</v>
      </c>
      <c r="Q241" s="1">
        <v>11</v>
      </c>
      <c r="R241" s="1">
        <v>2</v>
      </c>
      <c r="S241" s="1">
        <v>1</v>
      </c>
      <c r="T241" s="1">
        <v>4</v>
      </c>
      <c r="U241" s="1">
        <v>0</v>
      </c>
      <c r="V241" s="1">
        <v>2</v>
      </c>
      <c r="W241" s="1">
        <v>2</v>
      </c>
      <c r="X241" s="1">
        <v>6</v>
      </c>
      <c r="Y241" s="1">
        <v>11</v>
      </c>
      <c r="Z241" s="1">
        <v>5</v>
      </c>
      <c r="AA241" s="1">
        <v>7</v>
      </c>
      <c r="AB241" s="3">
        <v>54</v>
      </c>
      <c r="AC241" s="1">
        <v>10</v>
      </c>
      <c r="AD241" s="1">
        <v>13</v>
      </c>
      <c r="AE241" s="1">
        <v>4</v>
      </c>
      <c r="AF241" s="1">
        <v>15</v>
      </c>
      <c r="AG241" s="1">
        <v>10</v>
      </c>
      <c r="AH241" s="1">
        <v>9</v>
      </c>
      <c r="AI241" s="1">
        <v>13</v>
      </c>
      <c r="AJ241" s="1">
        <v>17</v>
      </c>
      <c r="AK241" s="1">
        <v>9</v>
      </c>
      <c r="AL241" s="1">
        <v>11</v>
      </c>
      <c r="AM241" s="1">
        <v>6</v>
      </c>
      <c r="AN241" s="1">
        <v>6</v>
      </c>
      <c r="AO241" s="3">
        <v>123</v>
      </c>
      <c r="AP241" s="1">
        <v>11</v>
      </c>
      <c r="AQ241" s="1">
        <v>27</v>
      </c>
      <c r="AR241" s="1">
        <v>4</v>
      </c>
      <c r="AS241" s="1">
        <v>28</v>
      </c>
      <c r="AT241" s="1">
        <v>25</v>
      </c>
      <c r="AU241" s="1">
        <v>35</v>
      </c>
      <c r="AV241" s="1">
        <v>43</v>
      </c>
      <c r="AW241" s="1">
        <v>61</v>
      </c>
      <c r="AX241" s="1">
        <v>31</v>
      </c>
      <c r="AY241" s="1">
        <v>21</v>
      </c>
      <c r="AZ241" s="1">
        <v>28</v>
      </c>
      <c r="BA241" s="1">
        <v>17</v>
      </c>
      <c r="BB241" s="3">
        <v>331</v>
      </c>
      <c r="BC241" s="1">
        <v>33</v>
      </c>
      <c r="BD241" s="1">
        <v>9</v>
      </c>
      <c r="BE241" s="1">
        <v>11</v>
      </c>
      <c r="BF241" s="1">
        <v>12</v>
      </c>
      <c r="BG241" s="1">
        <v>24</v>
      </c>
      <c r="BH241" s="1">
        <v>12</v>
      </c>
      <c r="BI241" s="1">
        <v>33</v>
      </c>
      <c r="BJ241" s="1">
        <v>24</v>
      </c>
      <c r="BK241" s="1">
        <v>39</v>
      </c>
      <c r="BL241" s="1">
        <v>71</v>
      </c>
      <c r="BM241" s="1">
        <v>65</v>
      </c>
      <c r="BN241" s="1">
        <v>112</v>
      </c>
      <c r="BO241" s="3">
        <v>445</v>
      </c>
      <c r="BP241" s="3">
        <f t="shared" si="4"/>
        <v>966</v>
      </c>
    </row>
    <row r="242" spans="1:68" x14ac:dyDescent="0.2">
      <c r="A242" s="3">
        <v>192</v>
      </c>
      <c r="B242" t="s">
        <v>249</v>
      </c>
      <c r="C242" s="1">
        <v>4</v>
      </c>
      <c r="D242" s="1">
        <v>5</v>
      </c>
      <c r="E242" s="1">
        <v>0</v>
      </c>
      <c r="F242" s="1">
        <v>10</v>
      </c>
      <c r="G242" s="1">
        <v>13</v>
      </c>
      <c r="H242" s="1">
        <v>14</v>
      </c>
      <c r="I242" s="1">
        <v>9</v>
      </c>
      <c r="J242" s="1">
        <v>2</v>
      </c>
      <c r="K242" s="1">
        <v>3</v>
      </c>
      <c r="L242" s="1">
        <v>4</v>
      </c>
      <c r="M242" s="1">
        <v>7</v>
      </c>
      <c r="N242" s="1">
        <v>9</v>
      </c>
      <c r="O242" s="3">
        <v>80</v>
      </c>
      <c r="P242" s="1">
        <v>11</v>
      </c>
      <c r="Q242" s="1">
        <v>9</v>
      </c>
      <c r="R242" s="1">
        <v>15</v>
      </c>
      <c r="S242" s="1">
        <v>21</v>
      </c>
      <c r="T242" s="1">
        <v>20</v>
      </c>
      <c r="U242" s="1">
        <v>41</v>
      </c>
      <c r="V242" s="1">
        <v>29</v>
      </c>
      <c r="W242" s="1">
        <v>36</v>
      </c>
      <c r="X242" s="1">
        <v>37</v>
      </c>
      <c r="Y242" s="1">
        <v>50</v>
      </c>
      <c r="Z242" s="1">
        <v>52</v>
      </c>
      <c r="AA242" s="1">
        <v>60</v>
      </c>
      <c r="AB242" s="3">
        <v>381</v>
      </c>
      <c r="AC242" s="1">
        <v>43</v>
      </c>
      <c r="AD242" s="1">
        <v>50</v>
      </c>
      <c r="AE242" s="1">
        <v>42</v>
      </c>
      <c r="AF242" s="1">
        <v>41</v>
      </c>
      <c r="AG242" s="1">
        <v>72</v>
      </c>
      <c r="AH242" s="1">
        <v>72</v>
      </c>
      <c r="AI242" s="1">
        <v>63</v>
      </c>
      <c r="AJ242" s="1">
        <v>118</v>
      </c>
      <c r="AK242" s="1">
        <v>61</v>
      </c>
      <c r="AL242" s="1">
        <v>80</v>
      </c>
      <c r="AM242" s="1">
        <v>70</v>
      </c>
      <c r="AN242" s="1">
        <v>100</v>
      </c>
      <c r="AO242" s="3">
        <v>812</v>
      </c>
      <c r="AP242" s="1">
        <v>55</v>
      </c>
      <c r="AQ242" s="1">
        <v>52</v>
      </c>
      <c r="AR242" s="1">
        <v>53</v>
      </c>
      <c r="AS242" s="1">
        <v>36</v>
      </c>
      <c r="AT242" s="1">
        <v>108</v>
      </c>
      <c r="AU242" s="1">
        <v>52</v>
      </c>
      <c r="AV242" s="1">
        <v>69</v>
      </c>
      <c r="AW242" s="1">
        <v>104</v>
      </c>
      <c r="AX242" s="1">
        <v>60</v>
      </c>
      <c r="AY242" s="1">
        <v>84</v>
      </c>
      <c r="AZ242" s="1">
        <v>88</v>
      </c>
      <c r="BA242" s="1">
        <v>77</v>
      </c>
      <c r="BB242" s="3">
        <v>838</v>
      </c>
      <c r="BC242" s="1">
        <v>54</v>
      </c>
      <c r="BD242" s="1">
        <v>56</v>
      </c>
      <c r="BE242" s="1">
        <v>62</v>
      </c>
      <c r="BF242" s="1">
        <v>54</v>
      </c>
      <c r="BG242" s="1">
        <v>99</v>
      </c>
      <c r="BH242" s="1">
        <v>55</v>
      </c>
      <c r="BI242" s="1">
        <v>89</v>
      </c>
      <c r="BJ242" s="1">
        <v>99</v>
      </c>
      <c r="BK242" s="1">
        <v>112</v>
      </c>
      <c r="BL242" s="1">
        <v>116</v>
      </c>
      <c r="BM242" s="1">
        <v>104</v>
      </c>
      <c r="BN242" s="1">
        <v>111</v>
      </c>
      <c r="BO242" s="3">
        <v>1011</v>
      </c>
      <c r="BP242" s="3">
        <f t="shared" si="4"/>
        <v>3122</v>
      </c>
    </row>
    <row r="243" spans="1:68" x14ac:dyDescent="0.2">
      <c r="A243" s="3">
        <v>193</v>
      </c>
      <c r="B243" t="s">
        <v>250</v>
      </c>
      <c r="C243" s="1">
        <v>0</v>
      </c>
      <c r="D243" s="1">
        <v>1</v>
      </c>
      <c r="E243" s="1">
        <v>0</v>
      </c>
      <c r="F243" s="1">
        <v>1</v>
      </c>
      <c r="G243" s="1">
        <v>3</v>
      </c>
      <c r="H243" s="1">
        <v>2</v>
      </c>
      <c r="I243" s="1">
        <v>1</v>
      </c>
      <c r="J243" s="1">
        <v>1</v>
      </c>
      <c r="K243" s="1">
        <v>1</v>
      </c>
      <c r="L243" s="1">
        <v>1</v>
      </c>
      <c r="M243" s="1">
        <v>1</v>
      </c>
      <c r="N243" s="1">
        <v>1</v>
      </c>
      <c r="O243" s="3">
        <v>13</v>
      </c>
      <c r="P243" s="1">
        <v>6</v>
      </c>
      <c r="Q243" s="1">
        <v>3</v>
      </c>
      <c r="R243" s="1">
        <v>3</v>
      </c>
      <c r="S243" s="1">
        <v>1</v>
      </c>
      <c r="T243" s="1">
        <v>10</v>
      </c>
      <c r="U243" s="1">
        <v>6</v>
      </c>
      <c r="V243" s="1">
        <v>8</v>
      </c>
      <c r="W243" s="1">
        <v>9</v>
      </c>
      <c r="X243" s="1">
        <v>9</v>
      </c>
      <c r="Y243" s="1">
        <v>32</v>
      </c>
      <c r="Z243" s="1">
        <v>5</v>
      </c>
      <c r="AA243" s="1">
        <v>5</v>
      </c>
      <c r="AB243" s="3">
        <v>97</v>
      </c>
      <c r="AC243" s="1">
        <v>2</v>
      </c>
      <c r="AD243" s="1">
        <v>14</v>
      </c>
      <c r="AE243" s="1">
        <v>5</v>
      </c>
      <c r="AF243" s="1">
        <v>11</v>
      </c>
      <c r="AG243" s="1">
        <v>10</v>
      </c>
      <c r="AH243" s="1">
        <v>10</v>
      </c>
      <c r="AI243" s="1">
        <v>10</v>
      </c>
      <c r="AJ243" s="1">
        <v>25</v>
      </c>
      <c r="AK243" s="1">
        <v>6</v>
      </c>
      <c r="AL243" s="1">
        <v>22</v>
      </c>
      <c r="AM243" s="1">
        <v>18</v>
      </c>
      <c r="AN243" s="1">
        <v>9</v>
      </c>
      <c r="AO243" s="3">
        <v>142</v>
      </c>
      <c r="AP243" s="1">
        <v>21</v>
      </c>
      <c r="AQ243" s="1">
        <v>22</v>
      </c>
      <c r="AR243" s="1">
        <v>21</v>
      </c>
      <c r="AS243" s="1">
        <v>20</v>
      </c>
      <c r="AT243" s="1">
        <v>33</v>
      </c>
      <c r="AU243" s="1">
        <v>27</v>
      </c>
      <c r="AV243" s="1">
        <v>29</v>
      </c>
      <c r="AW243" s="1">
        <v>48</v>
      </c>
      <c r="AX243" s="1">
        <v>39</v>
      </c>
      <c r="AY243" s="1">
        <v>69</v>
      </c>
      <c r="AZ243" s="1">
        <v>47</v>
      </c>
      <c r="BA243" s="1">
        <v>29</v>
      </c>
      <c r="BB243" s="3">
        <v>405</v>
      </c>
      <c r="BC243" s="1">
        <v>41</v>
      </c>
      <c r="BD243" s="1">
        <v>25</v>
      </c>
      <c r="BE243" s="1">
        <v>29</v>
      </c>
      <c r="BF243" s="1">
        <v>56</v>
      </c>
      <c r="BG243" s="1">
        <v>51</v>
      </c>
      <c r="BH243" s="1">
        <v>49</v>
      </c>
      <c r="BI243" s="1">
        <v>66</v>
      </c>
      <c r="BJ243" s="1">
        <v>79</v>
      </c>
      <c r="BK243" s="1">
        <v>47</v>
      </c>
      <c r="BL243" s="1">
        <v>144</v>
      </c>
      <c r="BM243" s="1">
        <v>75</v>
      </c>
      <c r="BN243" s="1">
        <v>44</v>
      </c>
      <c r="BO243" s="3">
        <v>706</v>
      </c>
      <c r="BP243" s="3">
        <f t="shared" si="4"/>
        <v>1363</v>
      </c>
    </row>
    <row r="244" spans="1:68" x14ac:dyDescent="0.2">
      <c r="A244" s="3">
        <v>194</v>
      </c>
      <c r="B244" t="s">
        <v>251</v>
      </c>
      <c r="C244" s="1">
        <v>0</v>
      </c>
      <c r="D244" s="1">
        <v>0</v>
      </c>
      <c r="E244" s="1">
        <v>0</v>
      </c>
      <c r="F244" s="1">
        <v>1</v>
      </c>
      <c r="G244" s="1">
        <v>5</v>
      </c>
      <c r="H244" s="1">
        <v>2</v>
      </c>
      <c r="I244" s="1">
        <v>0</v>
      </c>
      <c r="J244" s="1">
        <v>2</v>
      </c>
      <c r="K244" s="1">
        <v>0</v>
      </c>
      <c r="L244" s="1">
        <v>1</v>
      </c>
      <c r="M244" s="1">
        <v>8</v>
      </c>
      <c r="N244" s="1">
        <v>3</v>
      </c>
      <c r="O244" s="3">
        <v>22</v>
      </c>
      <c r="P244" s="1">
        <v>5</v>
      </c>
      <c r="Q244" s="1">
        <v>6</v>
      </c>
      <c r="R244" s="1">
        <v>23</v>
      </c>
      <c r="S244" s="1">
        <v>4</v>
      </c>
      <c r="T244" s="1">
        <v>44</v>
      </c>
      <c r="U244" s="1">
        <v>10</v>
      </c>
      <c r="V244" s="1">
        <v>22</v>
      </c>
      <c r="W244" s="1">
        <v>15</v>
      </c>
      <c r="X244" s="1">
        <v>18</v>
      </c>
      <c r="Y244" s="1">
        <v>31</v>
      </c>
      <c r="Z244" s="1">
        <v>30</v>
      </c>
      <c r="AA244" s="1">
        <v>11</v>
      </c>
      <c r="AB244" s="3">
        <v>219</v>
      </c>
      <c r="AC244" s="1">
        <v>23</v>
      </c>
      <c r="AD244" s="1">
        <v>17</v>
      </c>
      <c r="AE244" s="1">
        <v>28</v>
      </c>
      <c r="AF244" s="1">
        <v>15</v>
      </c>
      <c r="AG244" s="1">
        <v>21</v>
      </c>
      <c r="AH244" s="1">
        <v>45</v>
      </c>
      <c r="AI244" s="1">
        <v>43</v>
      </c>
      <c r="AJ244" s="1">
        <v>26</v>
      </c>
      <c r="AK244" s="1">
        <v>54</v>
      </c>
      <c r="AL244" s="1">
        <v>28</v>
      </c>
      <c r="AM244" s="1">
        <v>43</v>
      </c>
      <c r="AN244" s="1">
        <v>37</v>
      </c>
      <c r="AO244" s="3">
        <v>380</v>
      </c>
      <c r="AP244" s="1">
        <v>16</v>
      </c>
      <c r="AQ244" s="1">
        <v>31</v>
      </c>
      <c r="AR244" s="1">
        <v>26</v>
      </c>
      <c r="AS244" s="1">
        <v>34</v>
      </c>
      <c r="AT244" s="1">
        <v>60</v>
      </c>
      <c r="AU244" s="1">
        <v>53</v>
      </c>
      <c r="AV244" s="1">
        <v>64</v>
      </c>
      <c r="AW244" s="1">
        <v>86</v>
      </c>
      <c r="AX244" s="1">
        <v>41</v>
      </c>
      <c r="AY244" s="1">
        <v>50</v>
      </c>
      <c r="AZ244" s="1">
        <v>126</v>
      </c>
      <c r="BA244" s="1">
        <v>53</v>
      </c>
      <c r="BB244" s="3">
        <v>640</v>
      </c>
      <c r="BC244" s="1">
        <v>38</v>
      </c>
      <c r="BD244" s="1">
        <v>65</v>
      </c>
      <c r="BE244" s="1">
        <v>24</v>
      </c>
      <c r="BF244" s="1">
        <v>27</v>
      </c>
      <c r="BG244" s="1">
        <v>70</v>
      </c>
      <c r="BH244" s="1">
        <v>65</v>
      </c>
      <c r="BI244" s="1">
        <v>102</v>
      </c>
      <c r="BJ244" s="1">
        <v>52</v>
      </c>
      <c r="BK244" s="1">
        <v>69</v>
      </c>
      <c r="BL244" s="1">
        <v>79</v>
      </c>
      <c r="BM244" s="1">
        <v>65</v>
      </c>
      <c r="BN244" s="1">
        <v>86</v>
      </c>
      <c r="BO244" s="3">
        <v>742</v>
      </c>
      <c r="BP244" s="3">
        <f t="shared" si="4"/>
        <v>2003</v>
      </c>
    </row>
    <row r="245" spans="1:68" x14ac:dyDescent="0.2">
      <c r="A245" s="3">
        <v>195</v>
      </c>
      <c r="B245" t="s">
        <v>252</v>
      </c>
      <c r="C245" s="1">
        <v>0</v>
      </c>
      <c r="D245" s="1">
        <v>0</v>
      </c>
      <c r="E245" s="1">
        <v>0</v>
      </c>
      <c r="F245" s="1">
        <v>0</v>
      </c>
      <c r="G245" s="1">
        <v>3</v>
      </c>
      <c r="H245" s="1">
        <v>0</v>
      </c>
      <c r="I245" s="1">
        <v>1</v>
      </c>
      <c r="J245" s="1">
        <v>0</v>
      </c>
      <c r="K245" s="1">
        <v>0</v>
      </c>
      <c r="L245" s="1">
        <v>0</v>
      </c>
      <c r="M245" s="1">
        <v>0</v>
      </c>
      <c r="N245" s="1">
        <v>0</v>
      </c>
      <c r="O245" s="3">
        <v>4</v>
      </c>
      <c r="P245" s="1">
        <v>3</v>
      </c>
      <c r="Q245" s="1">
        <v>4</v>
      </c>
      <c r="R245" s="1">
        <v>3</v>
      </c>
      <c r="S245" s="1">
        <v>3</v>
      </c>
      <c r="T245" s="1">
        <v>14</v>
      </c>
      <c r="U245" s="1">
        <v>1</v>
      </c>
      <c r="V245" s="1">
        <v>1</v>
      </c>
      <c r="W245" s="1">
        <v>10</v>
      </c>
      <c r="X245" s="1">
        <v>26</v>
      </c>
      <c r="Y245" s="1">
        <v>32</v>
      </c>
      <c r="Z245" s="1">
        <v>28</v>
      </c>
      <c r="AA245" s="1">
        <v>9</v>
      </c>
      <c r="AB245" s="3">
        <v>134</v>
      </c>
      <c r="AC245" s="1">
        <v>4</v>
      </c>
      <c r="AD245" s="1">
        <v>7</v>
      </c>
      <c r="AE245" s="1">
        <v>21</v>
      </c>
      <c r="AF245" s="1">
        <v>7</v>
      </c>
      <c r="AG245" s="1">
        <v>14</v>
      </c>
      <c r="AH245" s="1">
        <v>20</v>
      </c>
      <c r="AI245" s="1">
        <v>33</v>
      </c>
      <c r="AJ245" s="1">
        <v>56</v>
      </c>
      <c r="AK245" s="1">
        <v>32</v>
      </c>
      <c r="AL245" s="1">
        <v>35</v>
      </c>
      <c r="AM245" s="1">
        <v>32</v>
      </c>
      <c r="AN245" s="1">
        <v>9</v>
      </c>
      <c r="AO245" s="3">
        <v>270</v>
      </c>
      <c r="AP245" s="1">
        <v>16</v>
      </c>
      <c r="AQ245" s="1">
        <v>15</v>
      </c>
      <c r="AR245" s="1">
        <v>16</v>
      </c>
      <c r="AS245" s="1">
        <v>22</v>
      </c>
      <c r="AT245" s="1">
        <v>26</v>
      </c>
      <c r="AU245" s="1">
        <v>29</v>
      </c>
      <c r="AV245" s="1">
        <v>45</v>
      </c>
      <c r="AW245" s="1">
        <v>73</v>
      </c>
      <c r="AX245" s="1">
        <v>45</v>
      </c>
      <c r="AY245" s="1">
        <v>40</v>
      </c>
      <c r="AZ245" s="1">
        <v>22</v>
      </c>
      <c r="BA245" s="1">
        <v>47</v>
      </c>
      <c r="BB245" s="3">
        <v>396</v>
      </c>
      <c r="BC245" s="1">
        <v>21</v>
      </c>
      <c r="BD245" s="1">
        <v>24</v>
      </c>
      <c r="BE245" s="1">
        <v>30</v>
      </c>
      <c r="BF245" s="1">
        <v>27</v>
      </c>
      <c r="BG245" s="1">
        <v>32</v>
      </c>
      <c r="BH245" s="1">
        <v>34</v>
      </c>
      <c r="BI245" s="1">
        <v>36</v>
      </c>
      <c r="BJ245" s="1">
        <v>41</v>
      </c>
      <c r="BK245" s="1">
        <v>41</v>
      </c>
      <c r="BL245" s="1">
        <v>48</v>
      </c>
      <c r="BM245" s="1">
        <v>30</v>
      </c>
      <c r="BN245" s="1">
        <v>32</v>
      </c>
      <c r="BO245" s="3">
        <v>396</v>
      </c>
      <c r="BP245" s="3">
        <f t="shared" si="4"/>
        <v>1200</v>
      </c>
    </row>
    <row r="246" spans="1:68" x14ac:dyDescent="0.2">
      <c r="A246" s="3">
        <v>196</v>
      </c>
      <c r="B246" t="s">
        <v>253</v>
      </c>
      <c r="C246" s="1">
        <v>2</v>
      </c>
      <c r="D246" s="1">
        <v>3</v>
      </c>
      <c r="E246" s="1">
        <v>4</v>
      </c>
      <c r="F246" s="1">
        <v>1</v>
      </c>
      <c r="G246" s="1">
        <v>8</v>
      </c>
      <c r="H246" s="1">
        <v>6</v>
      </c>
      <c r="I246" s="1">
        <v>1</v>
      </c>
      <c r="J246" s="1">
        <v>3</v>
      </c>
      <c r="K246" s="1">
        <v>3</v>
      </c>
      <c r="L246" s="1">
        <v>1</v>
      </c>
      <c r="M246" s="1">
        <v>7</v>
      </c>
      <c r="N246" s="1">
        <v>4</v>
      </c>
      <c r="O246" s="3">
        <v>43</v>
      </c>
      <c r="P246" s="1">
        <v>6</v>
      </c>
      <c r="Q246" s="1">
        <v>3</v>
      </c>
      <c r="R246" s="1">
        <v>1</v>
      </c>
      <c r="S246" s="1">
        <v>5</v>
      </c>
      <c r="T246" s="1">
        <v>14</v>
      </c>
      <c r="U246" s="1">
        <v>14</v>
      </c>
      <c r="V246" s="1">
        <v>19</v>
      </c>
      <c r="W246" s="1">
        <v>39</v>
      </c>
      <c r="X246" s="1">
        <v>29</v>
      </c>
      <c r="Y246" s="1">
        <v>105</v>
      </c>
      <c r="Z246" s="1">
        <v>44</v>
      </c>
      <c r="AA246" s="1">
        <v>39</v>
      </c>
      <c r="AB246" s="3">
        <v>318</v>
      </c>
      <c r="AC246" s="1">
        <v>23</v>
      </c>
      <c r="AD246" s="1">
        <v>13</v>
      </c>
      <c r="AE246" s="1">
        <v>37</v>
      </c>
      <c r="AF246" s="1">
        <v>20</v>
      </c>
      <c r="AG246" s="1">
        <v>20</v>
      </c>
      <c r="AH246" s="1">
        <v>35</v>
      </c>
      <c r="AI246" s="1">
        <v>95</v>
      </c>
      <c r="AJ246" s="1">
        <v>42</v>
      </c>
      <c r="AK246" s="1">
        <v>25</v>
      </c>
      <c r="AL246" s="1">
        <v>68</v>
      </c>
      <c r="AM246" s="1">
        <v>34</v>
      </c>
      <c r="AN246" s="1">
        <v>32</v>
      </c>
      <c r="AO246" s="3">
        <v>444</v>
      </c>
      <c r="AP246" s="1">
        <v>27</v>
      </c>
      <c r="AQ246" s="1">
        <v>46</v>
      </c>
      <c r="AR246" s="1">
        <v>49</v>
      </c>
      <c r="AS246" s="1">
        <v>39</v>
      </c>
      <c r="AT246" s="1">
        <v>41</v>
      </c>
      <c r="AU246" s="1">
        <v>33</v>
      </c>
      <c r="AV246" s="1">
        <v>60</v>
      </c>
      <c r="AW246" s="1">
        <v>74</v>
      </c>
      <c r="AX246" s="1">
        <v>38</v>
      </c>
      <c r="AY246" s="1">
        <v>78</v>
      </c>
      <c r="AZ246" s="1">
        <v>71</v>
      </c>
      <c r="BA246" s="1">
        <v>49</v>
      </c>
      <c r="BB246" s="3">
        <v>605</v>
      </c>
      <c r="BC246" s="1">
        <v>24</v>
      </c>
      <c r="BD246" s="1">
        <v>30</v>
      </c>
      <c r="BE246" s="1">
        <v>23</v>
      </c>
      <c r="BF246" s="1">
        <v>37</v>
      </c>
      <c r="BG246" s="1">
        <v>52</v>
      </c>
      <c r="BH246" s="1">
        <v>46</v>
      </c>
      <c r="BI246" s="1">
        <v>116</v>
      </c>
      <c r="BJ246" s="1">
        <v>92</v>
      </c>
      <c r="BK246" s="1">
        <v>64</v>
      </c>
      <c r="BL246" s="1">
        <v>45</v>
      </c>
      <c r="BM246" s="1">
        <v>85</v>
      </c>
      <c r="BN246" s="1">
        <v>58</v>
      </c>
      <c r="BO246" s="3">
        <v>672</v>
      </c>
      <c r="BP246" s="3">
        <f t="shared" si="4"/>
        <v>2082</v>
      </c>
    </row>
    <row r="247" spans="1:68" x14ac:dyDescent="0.2">
      <c r="A247" s="3">
        <v>197</v>
      </c>
      <c r="B247" t="s">
        <v>254</v>
      </c>
      <c r="C247" s="1">
        <v>0</v>
      </c>
      <c r="D247" s="1">
        <v>0</v>
      </c>
      <c r="E247" s="1">
        <v>1</v>
      </c>
      <c r="F247" s="1">
        <v>1</v>
      </c>
      <c r="G247" s="1">
        <v>2</v>
      </c>
      <c r="H247" s="1">
        <v>1</v>
      </c>
      <c r="I247" s="1">
        <v>1</v>
      </c>
      <c r="J247" s="1">
        <v>0</v>
      </c>
      <c r="K247" s="1">
        <v>0</v>
      </c>
      <c r="L247" s="1">
        <v>0</v>
      </c>
      <c r="M247" s="1">
        <v>0</v>
      </c>
      <c r="N247" s="1">
        <v>0</v>
      </c>
      <c r="O247" s="3">
        <v>6</v>
      </c>
      <c r="P247" s="1">
        <v>3</v>
      </c>
      <c r="Q247" s="1">
        <v>0</v>
      </c>
      <c r="R247" s="1">
        <v>8</v>
      </c>
      <c r="S247" s="1">
        <v>3</v>
      </c>
      <c r="T247" s="1">
        <v>10</v>
      </c>
      <c r="U247" s="1">
        <v>14</v>
      </c>
      <c r="V247" s="1">
        <v>6</v>
      </c>
      <c r="W247" s="1">
        <v>6</v>
      </c>
      <c r="X247" s="1">
        <v>11</v>
      </c>
      <c r="Y247" s="1">
        <v>9</v>
      </c>
      <c r="Z247" s="1">
        <v>11</v>
      </c>
      <c r="AA247" s="1">
        <v>5</v>
      </c>
      <c r="AB247" s="3">
        <v>86</v>
      </c>
      <c r="AC247" s="1">
        <v>6</v>
      </c>
      <c r="AD247" s="1">
        <v>6</v>
      </c>
      <c r="AE247" s="1">
        <v>6</v>
      </c>
      <c r="AF247" s="1">
        <v>49</v>
      </c>
      <c r="AG247" s="1">
        <v>18</v>
      </c>
      <c r="AH247" s="1">
        <v>9</v>
      </c>
      <c r="AI247" s="1">
        <v>21</v>
      </c>
      <c r="AJ247" s="1">
        <v>29</v>
      </c>
      <c r="AK247" s="1">
        <v>11</v>
      </c>
      <c r="AL247" s="1">
        <v>15</v>
      </c>
      <c r="AM247" s="1">
        <v>22</v>
      </c>
      <c r="AN247" s="1">
        <v>8</v>
      </c>
      <c r="AO247" s="3">
        <v>200</v>
      </c>
      <c r="AP247" s="1">
        <v>9</v>
      </c>
      <c r="AQ247" s="1">
        <v>14</v>
      </c>
      <c r="AR247" s="1">
        <v>12</v>
      </c>
      <c r="AS247" s="1">
        <v>9</v>
      </c>
      <c r="AT247" s="1">
        <v>26</v>
      </c>
      <c r="AU247" s="1">
        <v>20</v>
      </c>
      <c r="AV247" s="1">
        <v>32</v>
      </c>
      <c r="AW247" s="1">
        <v>39</v>
      </c>
      <c r="AX247" s="1">
        <v>23</v>
      </c>
      <c r="AY247" s="1">
        <v>32</v>
      </c>
      <c r="AZ247" s="1">
        <v>55</v>
      </c>
      <c r="BA247" s="1">
        <v>14</v>
      </c>
      <c r="BB247" s="3">
        <v>285</v>
      </c>
      <c r="BC247" s="1">
        <v>23</v>
      </c>
      <c r="BD247" s="1">
        <v>31</v>
      </c>
      <c r="BE247" s="1">
        <v>11</v>
      </c>
      <c r="BF247" s="1">
        <v>21</v>
      </c>
      <c r="BG247" s="1">
        <v>70</v>
      </c>
      <c r="BH247" s="1">
        <v>35</v>
      </c>
      <c r="BI247" s="1">
        <v>73</v>
      </c>
      <c r="BJ247" s="1">
        <v>32</v>
      </c>
      <c r="BK247" s="1">
        <v>98</v>
      </c>
      <c r="BL247" s="1">
        <v>26</v>
      </c>
      <c r="BM247" s="1">
        <v>36</v>
      </c>
      <c r="BN247" s="1">
        <v>22</v>
      </c>
      <c r="BO247" s="3">
        <v>478</v>
      </c>
      <c r="BP247" s="3">
        <f t="shared" si="4"/>
        <v>1055</v>
      </c>
    </row>
    <row r="248" spans="1:68" x14ac:dyDescent="0.2">
      <c r="A248" s="3">
        <v>198</v>
      </c>
      <c r="B248" t="s">
        <v>255</v>
      </c>
      <c r="C248" s="1">
        <v>0</v>
      </c>
      <c r="D248" s="1">
        <v>3</v>
      </c>
      <c r="E248" s="1">
        <v>0</v>
      </c>
      <c r="F248" s="1">
        <v>1</v>
      </c>
      <c r="G248" s="1">
        <v>0</v>
      </c>
      <c r="H248" s="1">
        <v>2</v>
      </c>
      <c r="I248" s="1">
        <v>1</v>
      </c>
      <c r="J248" s="1">
        <v>0</v>
      </c>
      <c r="K248" s="1">
        <v>1</v>
      </c>
      <c r="L248" s="1">
        <v>0</v>
      </c>
      <c r="M248" s="1">
        <v>0</v>
      </c>
      <c r="N248" s="1">
        <v>0</v>
      </c>
      <c r="O248" s="3">
        <v>8</v>
      </c>
      <c r="P248" s="1">
        <v>0</v>
      </c>
      <c r="Q248" s="1">
        <v>3</v>
      </c>
      <c r="R248" s="1">
        <v>4</v>
      </c>
      <c r="S248" s="1">
        <v>2</v>
      </c>
      <c r="T248" s="1">
        <v>11</v>
      </c>
      <c r="U248" s="1">
        <v>5</v>
      </c>
      <c r="V248" s="1">
        <v>8</v>
      </c>
      <c r="W248" s="1">
        <v>11</v>
      </c>
      <c r="X248" s="1">
        <v>17</v>
      </c>
      <c r="Y248" s="1">
        <v>25</v>
      </c>
      <c r="Z248" s="1">
        <v>12</v>
      </c>
      <c r="AA248" s="1">
        <v>26</v>
      </c>
      <c r="AB248" s="3">
        <v>124</v>
      </c>
      <c r="AC248" s="1">
        <v>17</v>
      </c>
      <c r="AD248" s="1">
        <v>2</v>
      </c>
      <c r="AE248" s="1">
        <v>15</v>
      </c>
      <c r="AF248" s="1">
        <v>19</v>
      </c>
      <c r="AG248" s="1">
        <v>25</v>
      </c>
      <c r="AH248" s="1">
        <v>14</v>
      </c>
      <c r="AI248" s="1">
        <v>12</v>
      </c>
      <c r="AJ248" s="1">
        <v>10</v>
      </c>
      <c r="AK248" s="1">
        <v>23</v>
      </c>
      <c r="AL248" s="1">
        <v>17</v>
      </c>
      <c r="AM248" s="1">
        <v>7</v>
      </c>
      <c r="AN248" s="1">
        <v>34</v>
      </c>
      <c r="AO248" s="3">
        <v>195</v>
      </c>
      <c r="AP248" s="1">
        <v>22</v>
      </c>
      <c r="AQ248" s="1">
        <v>6</v>
      </c>
      <c r="AR248" s="1">
        <v>14</v>
      </c>
      <c r="AS248" s="1">
        <v>29</v>
      </c>
      <c r="AT248" s="1">
        <v>27</v>
      </c>
      <c r="AU248" s="1">
        <v>28</v>
      </c>
      <c r="AV248" s="1">
        <v>9</v>
      </c>
      <c r="AW248" s="1">
        <v>41</v>
      </c>
      <c r="AX248" s="1">
        <v>11</v>
      </c>
      <c r="AY248" s="1">
        <v>24</v>
      </c>
      <c r="AZ248" s="1">
        <v>22</v>
      </c>
      <c r="BA248" s="1">
        <v>35</v>
      </c>
      <c r="BB248" s="3">
        <v>268</v>
      </c>
      <c r="BC248" s="1">
        <v>37</v>
      </c>
      <c r="BD248" s="1">
        <v>21</v>
      </c>
      <c r="BE248" s="1">
        <v>47</v>
      </c>
      <c r="BF248" s="1">
        <v>28</v>
      </c>
      <c r="BG248" s="1">
        <v>25</v>
      </c>
      <c r="BH248" s="1">
        <v>28</v>
      </c>
      <c r="BI248" s="1">
        <v>21</v>
      </c>
      <c r="BJ248" s="1">
        <v>28</v>
      </c>
      <c r="BK248" s="1">
        <v>12</v>
      </c>
      <c r="BL248" s="1">
        <v>15</v>
      </c>
      <c r="BM248" s="1">
        <v>32</v>
      </c>
      <c r="BN248" s="1">
        <v>46</v>
      </c>
      <c r="BO248" s="3">
        <v>340</v>
      </c>
      <c r="BP248" s="3">
        <f t="shared" si="4"/>
        <v>935</v>
      </c>
    </row>
    <row r="249" spans="1:68" x14ac:dyDescent="0.2">
      <c r="A249" s="3">
        <v>199</v>
      </c>
      <c r="B249" t="s">
        <v>256</v>
      </c>
      <c r="C249" s="1">
        <v>0</v>
      </c>
      <c r="D249" s="1">
        <v>0</v>
      </c>
      <c r="E249" s="1">
        <v>0</v>
      </c>
      <c r="F249" s="1">
        <v>0</v>
      </c>
      <c r="G249" s="1">
        <v>1</v>
      </c>
      <c r="H249" s="1">
        <v>0</v>
      </c>
      <c r="I249" s="1">
        <v>0</v>
      </c>
      <c r="J249" s="1">
        <v>0</v>
      </c>
      <c r="K249" s="1">
        <v>0</v>
      </c>
      <c r="L249" s="1">
        <v>0</v>
      </c>
      <c r="M249" s="1">
        <v>1</v>
      </c>
      <c r="N249" s="1">
        <v>0</v>
      </c>
      <c r="O249" s="3">
        <v>2</v>
      </c>
      <c r="P249" s="1">
        <v>0</v>
      </c>
      <c r="Q249" s="1">
        <v>4</v>
      </c>
      <c r="R249" s="1">
        <v>6</v>
      </c>
      <c r="S249" s="1">
        <v>0</v>
      </c>
      <c r="T249" s="1">
        <v>8</v>
      </c>
      <c r="U249" s="1">
        <v>5</v>
      </c>
      <c r="V249" s="1">
        <v>4</v>
      </c>
      <c r="W249" s="1">
        <v>5</v>
      </c>
      <c r="X249" s="1">
        <v>6</v>
      </c>
      <c r="Y249" s="1">
        <v>7</v>
      </c>
      <c r="Z249" s="1">
        <v>3</v>
      </c>
      <c r="AA249" s="1">
        <v>0</v>
      </c>
      <c r="AB249" s="3">
        <v>48</v>
      </c>
      <c r="AC249" s="1">
        <v>3</v>
      </c>
      <c r="AD249" s="1">
        <v>7</v>
      </c>
      <c r="AE249" s="1">
        <v>33</v>
      </c>
      <c r="AF249" s="1">
        <v>8</v>
      </c>
      <c r="AG249" s="1">
        <v>1</v>
      </c>
      <c r="AH249" s="1">
        <v>16</v>
      </c>
      <c r="AI249" s="1">
        <v>9</v>
      </c>
      <c r="AJ249" s="1">
        <v>13</v>
      </c>
      <c r="AK249" s="1">
        <v>16</v>
      </c>
      <c r="AL249" s="1">
        <v>4</v>
      </c>
      <c r="AM249" s="1">
        <v>53</v>
      </c>
      <c r="AN249" s="1">
        <v>1</v>
      </c>
      <c r="AO249" s="3">
        <v>164</v>
      </c>
      <c r="AP249" s="1">
        <v>3</v>
      </c>
      <c r="AQ249" s="1">
        <v>4</v>
      </c>
      <c r="AR249" s="1">
        <v>5</v>
      </c>
      <c r="AS249" s="1">
        <v>9</v>
      </c>
      <c r="AT249" s="1">
        <v>46</v>
      </c>
      <c r="AU249" s="1">
        <v>10</v>
      </c>
      <c r="AV249" s="1">
        <v>15</v>
      </c>
      <c r="AW249" s="1">
        <v>11</v>
      </c>
      <c r="AX249" s="1">
        <v>16</v>
      </c>
      <c r="AY249" s="1">
        <v>13</v>
      </c>
      <c r="AZ249" s="1">
        <v>21</v>
      </c>
      <c r="BA249" s="1">
        <v>14</v>
      </c>
      <c r="BB249" s="3">
        <v>167</v>
      </c>
      <c r="BC249" s="1">
        <v>15</v>
      </c>
      <c r="BD249" s="1">
        <v>14</v>
      </c>
      <c r="BE249" s="1">
        <v>5</v>
      </c>
      <c r="BF249" s="1">
        <v>11</v>
      </c>
      <c r="BG249" s="1">
        <v>47</v>
      </c>
      <c r="BH249" s="1">
        <v>6</v>
      </c>
      <c r="BI249" s="1">
        <v>13</v>
      </c>
      <c r="BJ249" s="1">
        <v>24</v>
      </c>
      <c r="BK249" s="1">
        <v>23</v>
      </c>
      <c r="BL249" s="1">
        <v>26</v>
      </c>
      <c r="BM249" s="1">
        <v>19</v>
      </c>
      <c r="BN249" s="1">
        <v>18</v>
      </c>
      <c r="BO249" s="3">
        <v>221</v>
      </c>
      <c r="BP249" s="3">
        <f t="shared" si="4"/>
        <v>602</v>
      </c>
    </row>
    <row r="250" spans="1:68" x14ac:dyDescent="0.2">
      <c r="A250" s="3">
        <v>200</v>
      </c>
      <c r="B250" t="s">
        <v>257</v>
      </c>
      <c r="C250" s="1">
        <v>0</v>
      </c>
      <c r="D250" s="1">
        <v>0</v>
      </c>
      <c r="E250" s="1">
        <v>0</v>
      </c>
      <c r="F250" s="1">
        <v>0</v>
      </c>
      <c r="G250" s="1">
        <v>0</v>
      </c>
      <c r="H250" s="1">
        <v>0</v>
      </c>
      <c r="I250" s="1">
        <v>0</v>
      </c>
      <c r="J250" s="1">
        <v>0</v>
      </c>
      <c r="K250" s="1">
        <v>0</v>
      </c>
      <c r="L250" s="1">
        <v>0</v>
      </c>
      <c r="M250" s="1">
        <v>0</v>
      </c>
      <c r="N250" s="1">
        <v>1</v>
      </c>
      <c r="O250" s="3">
        <v>1</v>
      </c>
      <c r="P250" s="1">
        <v>6</v>
      </c>
      <c r="Q250" s="1">
        <v>3</v>
      </c>
      <c r="R250" s="1">
        <v>1</v>
      </c>
      <c r="S250" s="1">
        <v>0</v>
      </c>
      <c r="T250" s="1">
        <v>0</v>
      </c>
      <c r="U250" s="1">
        <v>3</v>
      </c>
      <c r="V250" s="1">
        <v>3</v>
      </c>
      <c r="W250" s="1">
        <v>5</v>
      </c>
      <c r="X250" s="1">
        <v>1</v>
      </c>
      <c r="Y250" s="1">
        <v>6</v>
      </c>
      <c r="Z250" s="1">
        <v>53</v>
      </c>
      <c r="AA250" s="1">
        <v>6</v>
      </c>
      <c r="AB250" s="3">
        <v>87</v>
      </c>
      <c r="AC250" s="1">
        <v>2</v>
      </c>
      <c r="AD250" s="1">
        <v>5</v>
      </c>
      <c r="AE250" s="1">
        <v>16</v>
      </c>
      <c r="AF250" s="1">
        <v>11</v>
      </c>
      <c r="AG250" s="1">
        <v>15</v>
      </c>
      <c r="AH250" s="1">
        <v>24</v>
      </c>
      <c r="AI250" s="1">
        <v>11</v>
      </c>
      <c r="AJ250" s="1">
        <v>30</v>
      </c>
      <c r="AK250" s="1">
        <v>24</v>
      </c>
      <c r="AL250" s="1">
        <v>17</v>
      </c>
      <c r="AM250" s="1">
        <v>17</v>
      </c>
      <c r="AN250" s="1">
        <v>14</v>
      </c>
      <c r="AO250" s="3">
        <v>186</v>
      </c>
      <c r="AP250" s="1">
        <v>13</v>
      </c>
      <c r="AQ250" s="1">
        <v>11</v>
      </c>
      <c r="AR250" s="1">
        <v>18</v>
      </c>
      <c r="AS250" s="1">
        <v>29</v>
      </c>
      <c r="AT250" s="1">
        <v>24</v>
      </c>
      <c r="AU250" s="1">
        <v>12</v>
      </c>
      <c r="AV250" s="1">
        <v>31</v>
      </c>
      <c r="AW250" s="1">
        <v>44</v>
      </c>
      <c r="AX250" s="1">
        <v>31</v>
      </c>
      <c r="AY250" s="1">
        <v>28</v>
      </c>
      <c r="AZ250" s="1">
        <v>28</v>
      </c>
      <c r="BA250" s="1">
        <v>35</v>
      </c>
      <c r="BB250" s="3">
        <v>304</v>
      </c>
      <c r="BC250" s="1">
        <v>17</v>
      </c>
      <c r="BD250" s="1">
        <v>15</v>
      </c>
      <c r="BE250" s="1">
        <v>10</v>
      </c>
      <c r="BF250" s="1">
        <v>20</v>
      </c>
      <c r="BG250" s="1">
        <v>26</v>
      </c>
      <c r="BH250" s="1">
        <v>19</v>
      </c>
      <c r="BI250" s="1">
        <v>25</v>
      </c>
      <c r="BJ250" s="1">
        <v>29</v>
      </c>
      <c r="BK250" s="1">
        <v>29</v>
      </c>
      <c r="BL250" s="1">
        <v>34</v>
      </c>
      <c r="BM250" s="1">
        <v>24</v>
      </c>
      <c r="BN250" s="1">
        <v>48</v>
      </c>
      <c r="BO250" s="3">
        <v>296</v>
      </c>
      <c r="BP250" s="3">
        <f t="shared" si="4"/>
        <v>874</v>
      </c>
    </row>
    <row r="251" spans="1:68" x14ac:dyDescent="0.2">
      <c r="A251" s="3">
        <v>201</v>
      </c>
      <c r="B251" t="s">
        <v>258</v>
      </c>
      <c r="C251" s="1">
        <v>0</v>
      </c>
      <c r="D251" s="1">
        <v>0</v>
      </c>
      <c r="E251" s="1">
        <v>0</v>
      </c>
      <c r="F251" s="1">
        <v>0</v>
      </c>
      <c r="G251" s="1">
        <v>0</v>
      </c>
      <c r="H251" s="1">
        <v>0</v>
      </c>
      <c r="I251" s="1">
        <v>0</v>
      </c>
      <c r="J251" s="1">
        <v>0</v>
      </c>
      <c r="K251" s="1">
        <v>1</v>
      </c>
      <c r="L251" s="1">
        <v>1</v>
      </c>
      <c r="M251" s="1">
        <v>1</v>
      </c>
      <c r="N251" s="1">
        <v>2</v>
      </c>
      <c r="O251" s="3">
        <v>5</v>
      </c>
      <c r="P251" s="1">
        <v>2</v>
      </c>
      <c r="Q251" s="1">
        <v>2</v>
      </c>
      <c r="R251" s="1">
        <v>21</v>
      </c>
      <c r="S251" s="1">
        <v>0</v>
      </c>
      <c r="T251" s="1">
        <v>61</v>
      </c>
      <c r="U251" s="1">
        <v>1</v>
      </c>
      <c r="V251" s="1">
        <v>10</v>
      </c>
      <c r="W251" s="1">
        <v>4</v>
      </c>
      <c r="X251" s="1">
        <v>15</v>
      </c>
      <c r="Y251" s="1">
        <v>30</v>
      </c>
      <c r="Z251" s="1">
        <v>20</v>
      </c>
      <c r="AA251" s="1">
        <v>21</v>
      </c>
      <c r="AB251" s="3">
        <v>187</v>
      </c>
      <c r="AC251" s="1">
        <v>12</v>
      </c>
      <c r="AD251" s="1">
        <v>6</v>
      </c>
      <c r="AE251" s="1">
        <v>15</v>
      </c>
      <c r="AF251" s="1">
        <v>11</v>
      </c>
      <c r="AG251" s="1">
        <v>17</v>
      </c>
      <c r="AH251" s="1">
        <v>26</v>
      </c>
      <c r="AI251" s="1">
        <v>11</v>
      </c>
      <c r="AJ251" s="1">
        <v>37</v>
      </c>
      <c r="AK251" s="1">
        <v>10</v>
      </c>
      <c r="AL251" s="1">
        <v>24</v>
      </c>
      <c r="AM251" s="1">
        <v>31</v>
      </c>
      <c r="AN251" s="1">
        <v>31</v>
      </c>
      <c r="AO251" s="3">
        <v>231</v>
      </c>
      <c r="AP251" s="1">
        <v>20</v>
      </c>
      <c r="AQ251" s="1">
        <v>11</v>
      </c>
      <c r="AR251" s="1">
        <v>33</v>
      </c>
      <c r="AS251" s="1">
        <v>20</v>
      </c>
      <c r="AT251" s="1">
        <v>23</v>
      </c>
      <c r="AU251" s="1">
        <v>14</v>
      </c>
      <c r="AV251" s="1">
        <v>29</v>
      </c>
      <c r="AW251" s="1">
        <v>28</v>
      </c>
      <c r="AX251" s="1">
        <v>33</v>
      </c>
      <c r="AY251" s="1">
        <v>33</v>
      </c>
      <c r="AZ251" s="1">
        <v>66</v>
      </c>
      <c r="BA251" s="1">
        <v>59</v>
      </c>
      <c r="BB251" s="3">
        <v>369</v>
      </c>
      <c r="BC251" s="1">
        <v>36</v>
      </c>
      <c r="BD251" s="1">
        <v>25</v>
      </c>
      <c r="BE251" s="1">
        <v>17</v>
      </c>
      <c r="BF251" s="1">
        <v>45</v>
      </c>
      <c r="BG251" s="1">
        <v>28</v>
      </c>
      <c r="BH251" s="1">
        <v>18</v>
      </c>
      <c r="BI251" s="1">
        <v>34</v>
      </c>
      <c r="BJ251" s="1">
        <v>26</v>
      </c>
      <c r="BK251" s="1">
        <v>34</v>
      </c>
      <c r="BL251" s="1">
        <v>40</v>
      </c>
      <c r="BM251" s="1">
        <v>36</v>
      </c>
      <c r="BN251" s="1">
        <v>42</v>
      </c>
      <c r="BO251" s="3">
        <v>381</v>
      </c>
      <c r="BP251" s="3">
        <f t="shared" si="4"/>
        <v>1173</v>
      </c>
    </row>
    <row r="252" spans="1:68" x14ac:dyDescent="0.2">
      <c r="A252" s="3">
        <v>202</v>
      </c>
      <c r="B252" t="s">
        <v>259</v>
      </c>
      <c r="C252" s="1">
        <v>0</v>
      </c>
      <c r="D252" s="1">
        <v>0</v>
      </c>
      <c r="E252" s="1">
        <v>0</v>
      </c>
      <c r="F252" s="1">
        <v>1</v>
      </c>
      <c r="G252" s="1">
        <v>0</v>
      </c>
      <c r="H252" s="1">
        <v>1</v>
      </c>
      <c r="I252" s="1">
        <v>0</v>
      </c>
      <c r="J252" s="1">
        <v>0</v>
      </c>
      <c r="K252" s="1">
        <v>0</v>
      </c>
      <c r="L252" s="1">
        <v>0</v>
      </c>
      <c r="M252" s="1">
        <v>0</v>
      </c>
      <c r="N252" s="1">
        <v>1</v>
      </c>
      <c r="O252" s="3">
        <v>3</v>
      </c>
      <c r="P252" s="1">
        <v>0</v>
      </c>
      <c r="Q252" s="1">
        <v>0</v>
      </c>
      <c r="R252" s="1">
        <v>2</v>
      </c>
      <c r="S252" s="1">
        <v>1</v>
      </c>
      <c r="T252" s="1">
        <v>14</v>
      </c>
      <c r="U252" s="1">
        <v>4</v>
      </c>
      <c r="V252" s="1">
        <v>8</v>
      </c>
      <c r="W252" s="1">
        <v>2</v>
      </c>
      <c r="X252" s="1">
        <v>5</v>
      </c>
      <c r="Y252" s="1">
        <v>4</v>
      </c>
      <c r="Z252" s="1">
        <v>3</v>
      </c>
      <c r="AA252" s="1">
        <v>20</v>
      </c>
      <c r="AB252" s="3">
        <v>63</v>
      </c>
      <c r="AC252" s="1">
        <v>2</v>
      </c>
      <c r="AD252" s="1">
        <v>2</v>
      </c>
      <c r="AE252" s="1">
        <v>11</v>
      </c>
      <c r="AF252" s="1">
        <v>6</v>
      </c>
      <c r="AG252" s="1">
        <v>8</v>
      </c>
      <c r="AH252" s="1">
        <v>25</v>
      </c>
      <c r="AI252" s="1">
        <v>10</v>
      </c>
      <c r="AJ252" s="1">
        <v>4</v>
      </c>
      <c r="AK252" s="1">
        <v>11</v>
      </c>
      <c r="AL252" s="1">
        <v>9</v>
      </c>
      <c r="AM252" s="1">
        <v>19</v>
      </c>
      <c r="AN252" s="1">
        <v>9</v>
      </c>
      <c r="AO252" s="3">
        <v>116</v>
      </c>
      <c r="AP252" s="1">
        <v>7</v>
      </c>
      <c r="AQ252" s="1">
        <v>5</v>
      </c>
      <c r="AR252" s="1">
        <v>10</v>
      </c>
      <c r="AS252" s="1">
        <v>5</v>
      </c>
      <c r="AT252" s="1">
        <v>34</v>
      </c>
      <c r="AU252" s="1">
        <v>24</v>
      </c>
      <c r="AV252" s="1">
        <v>17</v>
      </c>
      <c r="AW252" s="1">
        <v>15</v>
      </c>
      <c r="AX252" s="1">
        <v>12</v>
      </c>
      <c r="AY252" s="1">
        <v>12</v>
      </c>
      <c r="AZ252" s="1">
        <v>25</v>
      </c>
      <c r="BA252" s="1">
        <v>16</v>
      </c>
      <c r="BB252" s="3">
        <v>182</v>
      </c>
      <c r="BC252" s="1">
        <v>7</v>
      </c>
      <c r="BD252" s="1">
        <v>7</v>
      </c>
      <c r="BE252" s="1">
        <v>13</v>
      </c>
      <c r="BF252" s="1">
        <v>2</v>
      </c>
      <c r="BG252" s="1">
        <v>9</v>
      </c>
      <c r="BH252" s="1">
        <v>11</v>
      </c>
      <c r="BI252" s="1">
        <v>23</v>
      </c>
      <c r="BJ252" s="1">
        <v>6</v>
      </c>
      <c r="BK252" s="1">
        <v>20</v>
      </c>
      <c r="BL252" s="1">
        <v>8</v>
      </c>
      <c r="BM252" s="1">
        <v>19</v>
      </c>
      <c r="BN252" s="1">
        <v>15</v>
      </c>
      <c r="BO252" s="3">
        <v>140</v>
      </c>
      <c r="BP252" s="3">
        <f t="shared" si="4"/>
        <v>504</v>
      </c>
    </row>
    <row r="253" spans="1:68" x14ac:dyDescent="0.2">
      <c r="A253" s="3">
        <v>203</v>
      </c>
      <c r="B253" t="s">
        <v>260</v>
      </c>
      <c r="C253" s="1">
        <v>0</v>
      </c>
      <c r="D253" s="1">
        <v>16</v>
      </c>
      <c r="E253" s="1">
        <v>10</v>
      </c>
      <c r="F253" s="1">
        <v>5</v>
      </c>
      <c r="G253" s="1">
        <v>6</v>
      </c>
      <c r="H253" s="1">
        <v>15</v>
      </c>
      <c r="I253" s="1">
        <v>4</v>
      </c>
      <c r="J253" s="1">
        <v>1</v>
      </c>
      <c r="K253" s="1">
        <v>2</v>
      </c>
      <c r="L253" s="1">
        <v>3</v>
      </c>
      <c r="M253" s="1">
        <v>0</v>
      </c>
      <c r="N253" s="1">
        <v>0</v>
      </c>
      <c r="O253" s="3">
        <v>62</v>
      </c>
      <c r="P253" s="1">
        <v>2</v>
      </c>
      <c r="Q253" s="1">
        <v>2</v>
      </c>
      <c r="R253" s="1">
        <v>6</v>
      </c>
      <c r="S253" s="1">
        <v>8</v>
      </c>
      <c r="T253" s="1">
        <v>18</v>
      </c>
      <c r="U253" s="1">
        <v>14</v>
      </c>
      <c r="V253" s="1">
        <v>11</v>
      </c>
      <c r="W253" s="1">
        <v>12</v>
      </c>
      <c r="X253" s="1">
        <v>14</v>
      </c>
      <c r="Y253" s="1">
        <v>15</v>
      </c>
      <c r="Z253" s="1">
        <v>30</v>
      </c>
      <c r="AA253" s="1">
        <v>10</v>
      </c>
      <c r="AB253" s="3">
        <v>142</v>
      </c>
      <c r="AC253" s="1">
        <v>6</v>
      </c>
      <c r="AD253" s="1">
        <v>30</v>
      </c>
      <c r="AE253" s="1">
        <v>19</v>
      </c>
      <c r="AF253" s="1">
        <v>18</v>
      </c>
      <c r="AG253" s="1">
        <v>27</v>
      </c>
      <c r="AH253" s="1">
        <v>21</v>
      </c>
      <c r="AI253" s="1">
        <v>13</v>
      </c>
      <c r="AJ253" s="1">
        <v>45</v>
      </c>
      <c r="AK253" s="1">
        <v>19</v>
      </c>
      <c r="AL253" s="1">
        <v>25</v>
      </c>
      <c r="AM253" s="1">
        <v>83</v>
      </c>
      <c r="AN253" s="1">
        <v>14</v>
      </c>
      <c r="AO253" s="3">
        <v>320</v>
      </c>
      <c r="AP253" s="1">
        <v>12</v>
      </c>
      <c r="AQ253" s="1">
        <v>23</v>
      </c>
      <c r="AR253" s="1">
        <v>12</v>
      </c>
      <c r="AS253" s="1">
        <v>20</v>
      </c>
      <c r="AT253" s="1">
        <v>94</v>
      </c>
      <c r="AU253" s="1">
        <v>24</v>
      </c>
      <c r="AV253" s="1">
        <v>43</v>
      </c>
      <c r="AW253" s="1">
        <v>62</v>
      </c>
      <c r="AX253" s="1">
        <v>41</v>
      </c>
      <c r="AY253" s="1">
        <v>25</v>
      </c>
      <c r="AZ253" s="1">
        <v>42</v>
      </c>
      <c r="BA253" s="1">
        <v>26</v>
      </c>
      <c r="BB253" s="3">
        <v>424</v>
      </c>
      <c r="BC253" s="1">
        <v>34</v>
      </c>
      <c r="BD253" s="1">
        <v>29</v>
      </c>
      <c r="BE253" s="1">
        <v>9</v>
      </c>
      <c r="BF253" s="1">
        <v>26</v>
      </c>
      <c r="BG253" s="1">
        <v>31</v>
      </c>
      <c r="BH253" s="1">
        <v>19</v>
      </c>
      <c r="BI253" s="1">
        <v>45</v>
      </c>
      <c r="BJ253" s="1">
        <v>29</v>
      </c>
      <c r="BK253" s="1">
        <v>28</v>
      </c>
      <c r="BL253" s="1">
        <v>50</v>
      </c>
      <c r="BM253" s="1">
        <v>33</v>
      </c>
      <c r="BN253" s="1">
        <v>14</v>
      </c>
      <c r="BO253" s="3">
        <v>347</v>
      </c>
      <c r="BP253" s="3">
        <f t="shared" si="4"/>
        <v>1295</v>
      </c>
    </row>
    <row r="254" spans="1:68" x14ac:dyDescent="0.2">
      <c r="A254" s="3">
        <v>204</v>
      </c>
      <c r="B254" t="s">
        <v>261</v>
      </c>
      <c r="C254" s="1">
        <v>0</v>
      </c>
      <c r="D254" s="1">
        <v>0</v>
      </c>
      <c r="E254" s="1">
        <v>2</v>
      </c>
      <c r="F254" s="1">
        <v>0</v>
      </c>
      <c r="G254" s="1">
        <v>0</v>
      </c>
      <c r="H254" s="1">
        <v>0</v>
      </c>
      <c r="I254" s="1">
        <v>0</v>
      </c>
      <c r="J254" s="1">
        <v>0</v>
      </c>
      <c r="K254" s="1">
        <v>5</v>
      </c>
      <c r="L254" s="1">
        <v>0</v>
      </c>
      <c r="M254" s="1">
        <v>3</v>
      </c>
      <c r="N254" s="1">
        <v>0</v>
      </c>
      <c r="O254" s="3">
        <v>10</v>
      </c>
      <c r="P254" s="1">
        <v>1</v>
      </c>
      <c r="Q254" s="1">
        <v>3</v>
      </c>
      <c r="R254" s="1">
        <v>1</v>
      </c>
      <c r="S254" s="1">
        <v>0</v>
      </c>
      <c r="T254" s="1">
        <v>11</v>
      </c>
      <c r="U254" s="1">
        <v>4</v>
      </c>
      <c r="V254" s="1">
        <v>3</v>
      </c>
      <c r="W254" s="1">
        <v>4</v>
      </c>
      <c r="X254" s="1">
        <v>2</v>
      </c>
      <c r="Y254" s="1">
        <v>3</v>
      </c>
      <c r="Z254" s="1">
        <v>4</v>
      </c>
      <c r="AA254" s="1">
        <v>7</v>
      </c>
      <c r="AB254" s="3">
        <v>43</v>
      </c>
      <c r="AC254" s="1">
        <v>1</v>
      </c>
      <c r="AD254" s="1">
        <v>3</v>
      </c>
      <c r="AE254" s="1">
        <v>6</v>
      </c>
      <c r="AF254" s="1">
        <v>4</v>
      </c>
      <c r="AG254" s="1">
        <v>11</v>
      </c>
      <c r="AH254" s="1">
        <v>8</v>
      </c>
      <c r="AI254" s="1">
        <v>3</v>
      </c>
      <c r="AJ254" s="1">
        <v>3</v>
      </c>
      <c r="AK254" s="1">
        <v>11</v>
      </c>
      <c r="AL254" s="1">
        <v>8</v>
      </c>
      <c r="AM254" s="1">
        <v>7</v>
      </c>
      <c r="AN254" s="1">
        <v>6</v>
      </c>
      <c r="AO254" s="3">
        <v>71</v>
      </c>
      <c r="AP254" s="1">
        <v>16</v>
      </c>
      <c r="AQ254" s="1">
        <v>3</v>
      </c>
      <c r="AR254" s="1">
        <v>1</v>
      </c>
      <c r="AS254" s="1">
        <v>12</v>
      </c>
      <c r="AT254" s="1">
        <v>18</v>
      </c>
      <c r="AU254" s="1">
        <v>10</v>
      </c>
      <c r="AV254" s="1">
        <v>16</v>
      </c>
      <c r="AW254" s="1">
        <v>14</v>
      </c>
      <c r="AX254" s="1">
        <v>19</v>
      </c>
      <c r="AY254" s="1">
        <v>10</v>
      </c>
      <c r="AZ254" s="1">
        <v>25</v>
      </c>
      <c r="BA254" s="1">
        <v>5</v>
      </c>
      <c r="BB254" s="3">
        <v>149</v>
      </c>
      <c r="BC254" s="1">
        <v>12</v>
      </c>
      <c r="BD254" s="1">
        <v>5</v>
      </c>
      <c r="BE254" s="1">
        <v>9</v>
      </c>
      <c r="BF254" s="1">
        <v>22</v>
      </c>
      <c r="BG254" s="1">
        <v>10</v>
      </c>
      <c r="BH254" s="1">
        <v>38</v>
      </c>
      <c r="BI254" s="1">
        <v>20</v>
      </c>
      <c r="BJ254" s="1">
        <v>16</v>
      </c>
      <c r="BK254" s="1">
        <v>13</v>
      </c>
      <c r="BL254" s="1">
        <v>30</v>
      </c>
      <c r="BM254" s="1">
        <v>22</v>
      </c>
      <c r="BN254" s="1">
        <v>15</v>
      </c>
      <c r="BO254" s="3">
        <v>212</v>
      </c>
      <c r="BP254" s="3">
        <f t="shared" si="4"/>
        <v>485</v>
      </c>
    </row>
    <row r="255" spans="1:68" x14ac:dyDescent="0.2">
      <c r="A255" s="3">
        <v>205</v>
      </c>
      <c r="B255" t="s">
        <v>262</v>
      </c>
      <c r="C255" s="1">
        <v>0</v>
      </c>
      <c r="D255" s="1">
        <v>0</v>
      </c>
      <c r="E255" s="1">
        <v>3</v>
      </c>
      <c r="F255" s="1">
        <v>1</v>
      </c>
      <c r="G255" s="1">
        <v>0</v>
      </c>
      <c r="H255" s="1">
        <v>3</v>
      </c>
      <c r="I255" s="1">
        <v>0</v>
      </c>
      <c r="J255" s="1">
        <v>0</v>
      </c>
      <c r="K255" s="1">
        <v>0</v>
      </c>
      <c r="L255" s="1">
        <v>3</v>
      </c>
      <c r="M255" s="1">
        <v>0</v>
      </c>
      <c r="N255" s="1">
        <v>3</v>
      </c>
      <c r="O255" s="3">
        <v>13</v>
      </c>
      <c r="P255" s="1">
        <v>3</v>
      </c>
      <c r="Q255" s="1">
        <v>2</v>
      </c>
      <c r="R255" s="1">
        <v>2</v>
      </c>
      <c r="S255" s="1">
        <v>1</v>
      </c>
      <c r="T255" s="1">
        <v>10</v>
      </c>
      <c r="U255" s="1">
        <v>4</v>
      </c>
      <c r="V255" s="1">
        <v>7</v>
      </c>
      <c r="W255" s="1">
        <v>7</v>
      </c>
      <c r="X255" s="1">
        <v>6</v>
      </c>
      <c r="Y255" s="1">
        <v>11</v>
      </c>
      <c r="Z255" s="1">
        <v>7</v>
      </c>
      <c r="AA255" s="1">
        <v>5</v>
      </c>
      <c r="AB255" s="3">
        <v>65</v>
      </c>
      <c r="AC255" s="1">
        <v>7</v>
      </c>
      <c r="AD255" s="1">
        <v>8</v>
      </c>
      <c r="AE255" s="1">
        <v>6</v>
      </c>
      <c r="AF255" s="1">
        <v>2</v>
      </c>
      <c r="AG255" s="1">
        <v>12</v>
      </c>
      <c r="AH255" s="1">
        <v>5</v>
      </c>
      <c r="AI255" s="1">
        <v>13</v>
      </c>
      <c r="AJ255" s="1">
        <v>17</v>
      </c>
      <c r="AK255" s="1">
        <v>24</v>
      </c>
      <c r="AL255" s="1">
        <v>11</v>
      </c>
      <c r="AM255" s="1">
        <v>60</v>
      </c>
      <c r="AN255" s="1">
        <v>6</v>
      </c>
      <c r="AO255" s="3">
        <v>171</v>
      </c>
      <c r="AP255" s="1">
        <v>3</v>
      </c>
      <c r="AQ255" s="1">
        <v>7</v>
      </c>
      <c r="AR255" s="1">
        <v>9</v>
      </c>
      <c r="AS255" s="1">
        <v>7</v>
      </c>
      <c r="AT255" s="1">
        <v>37</v>
      </c>
      <c r="AU255" s="1">
        <v>7</v>
      </c>
      <c r="AV255" s="1">
        <v>22</v>
      </c>
      <c r="AW255" s="1">
        <v>14</v>
      </c>
      <c r="AX255" s="1">
        <v>10</v>
      </c>
      <c r="AY255" s="1">
        <v>12</v>
      </c>
      <c r="AZ255" s="1">
        <v>16</v>
      </c>
      <c r="BA255" s="1">
        <v>12</v>
      </c>
      <c r="BB255" s="3">
        <v>156</v>
      </c>
      <c r="BC255" s="1">
        <v>14</v>
      </c>
      <c r="BD255" s="1">
        <v>18</v>
      </c>
      <c r="BE255" s="1">
        <v>6</v>
      </c>
      <c r="BF255" s="1">
        <v>2</v>
      </c>
      <c r="BG255" s="1">
        <v>15</v>
      </c>
      <c r="BH255" s="1">
        <v>9</v>
      </c>
      <c r="BI255" s="1">
        <v>13</v>
      </c>
      <c r="BJ255" s="1">
        <v>55</v>
      </c>
      <c r="BK255" s="1">
        <v>9</v>
      </c>
      <c r="BL255" s="1">
        <v>20</v>
      </c>
      <c r="BM255" s="1">
        <v>39</v>
      </c>
      <c r="BN255" s="1">
        <v>9</v>
      </c>
      <c r="BO255" s="3">
        <v>209</v>
      </c>
      <c r="BP255" s="3">
        <f t="shared" si="4"/>
        <v>614</v>
      </c>
    </row>
    <row r="256" spans="1:68" x14ac:dyDescent="0.2">
      <c r="A256" s="3">
        <v>206</v>
      </c>
      <c r="B256" t="s">
        <v>263</v>
      </c>
      <c r="C256" s="1">
        <v>0</v>
      </c>
      <c r="D256" s="1">
        <v>1</v>
      </c>
      <c r="E256" s="1">
        <v>0</v>
      </c>
      <c r="F256" s="1">
        <v>3</v>
      </c>
      <c r="G256" s="1">
        <v>0</v>
      </c>
      <c r="H256" s="1">
        <v>0</v>
      </c>
      <c r="I256" s="1">
        <v>0</v>
      </c>
      <c r="J256" s="1">
        <v>0</v>
      </c>
      <c r="K256" s="1">
        <v>4</v>
      </c>
      <c r="L256" s="1">
        <v>0</v>
      </c>
      <c r="M256" s="1">
        <v>1</v>
      </c>
      <c r="N256" s="1">
        <v>3</v>
      </c>
      <c r="O256" s="3">
        <v>12</v>
      </c>
      <c r="P256" s="1">
        <v>1</v>
      </c>
      <c r="Q256" s="1">
        <v>1</v>
      </c>
      <c r="R256" s="1">
        <v>2</v>
      </c>
      <c r="S256" s="1">
        <v>3</v>
      </c>
      <c r="T256" s="1">
        <v>6</v>
      </c>
      <c r="U256" s="1">
        <v>2</v>
      </c>
      <c r="V256" s="1">
        <v>10</v>
      </c>
      <c r="W256" s="1">
        <v>2</v>
      </c>
      <c r="X256" s="1">
        <v>3</v>
      </c>
      <c r="Y256" s="1">
        <v>8</v>
      </c>
      <c r="Z256" s="1">
        <v>5</v>
      </c>
      <c r="AA256" s="1">
        <v>5</v>
      </c>
      <c r="AB256" s="3">
        <v>48</v>
      </c>
      <c r="AC256" s="1">
        <v>6</v>
      </c>
      <c r="AD256" s="1">
        <v>6</v>
      </c>
      <c r="AE256" s="1">
        <v>4</v>
      </c>
      <c r="AF256" s="1">
        <v>6</v>
      </c>
      <c r="AG256" s="1">
        <v>9</v>
      </c>
      <c r="AH256" s="1">
        <v>17</v>
      </c>
      <c r="AI256" s="1">
        <v>13</v>
      </c>
      <c r="AJ256" s="1">
        <v>7</v>
      </c>
      <c r="AK256" s="1">
        <v>6</v>
      </c>
      <c r="AL256" s="1">
        <v>8</v>
      </c>
      <c r="AM256" s="1">
        <v>9</v>
      </c>
      <c r="AN256" s="1">
        <v>12</v>
      </c>
      <c r="AO256" s="3">
        <v>103</v>
      </c>
      <c r="AP256" s="1">
        <v>8</v>
      </c>
      <c r="AQ256" s="1">
        <v>3</v>
      </c>
      <c r="AR256" s="1">
        <v>5</v>
      </c>
      <c r="AS256" s="1">
        <v>7</v>
      </c>
      <c r="AT256" s="1">
        <v>7</v>
      </c>
      <c r="AU256" s="1">
        <v>10</v>
      </c>
      <c r="AV256" s="1">
        <v>13</v>
      </c>
      <c r="AW256" s="1">
        <v>11</v>
      </c>
      <c r="AX256" s="1">
        <v>11</v>
      </c>
      <c r="AY256" s="1">
        <v>6</v>
      </c>
      <c r="AZ256" s="1">
        <v>22</v>
      </c>
      <c r="BA256" s="1">
        <v>11</v>
      </c>
      <c r="BB256" s="3">
        <v>114</v>
      </c>
      <c r="BC256" s="1">
        <v>8</v>
      </c>
      <c r="BD256" s="1">
        <v>1</v>
      </c>
      <c r="BE256" s="1">
        <v>4</v>
      </c>
      <c r="BF256" s="1">
        <v>7</v>
      </c>
      <c r="BG256" s="1">
        <v>7</v>
      </c>
      <c r="BH256" s="1">
        <v>11</v>
      </c>
      <c r="BI256" s="1">
        <v>18</v>
      </c>
      <c r="BJ256" s="1">
        <v>18</v>
      </c>
      <c r="BK256" s="1">
        <v>18</v>
      </c>
      <c r="BL256" s="1">
        <v>21</v>
      </c>
      <c r="BM256" s="1">
        <v>12</v>
      </c>
      <c r="BN256" s="1">
        <v>14</v>
      </c>
      <c r="BO256" s="3">
        <v>139</v>
      </c>
      <c r="BP256" s="3">
        <f t="shared" si="4"/>
        <v>416</v>
      </c>
    </row>
    <row r="257" spans="1:68" x14ac:dyDescent="0.2">
      <c r="A257" s="3">
        <v>207</v>
      </c>
      <c r="B257" t="s">
        <v>264</v>
      </c>
      <c r="C257" s="1">
        <v>0</v>
      </c>
      <c r="D257" s="1">
        <v>0</v>
      </c>
      <c r="E257" s="1">
        <v>1</v>
      </c>
      <c r="F257" s="1">
        <v>0</v>
      </c>
      <c r="G257" s="1">
        <v>1</v>
      </c>
      <c r="H257" s="1">
        <v>1</v>
      </c>
      <c r="I257" s="1">
        <v>0</v>
      </c>
      <c r="J257" s="1">
        <v>0</v>
      </c>
      <c r="K257" s="1">
        <v>0</v>
      </c>
      <c r="L257" s="1">
        <v>1</v>
      </c>
      <c r="M257" s="1">
        <v>0</v>
      </c>
      <c r="N257" s="1">
        <v>0</v>
      </c>
      <c r="O257" s="3">
        <v>4</v>
      </c>
      <c r="P257" s="1">
        <v>0</v>
      </c>
      <c r="Q257" s="1">
        <v>2</v>
      </c>
      <c r="R257" s="1">
        <v>1</v>
      </c>
      <c r="S257" s="1">
        <v>1</v>
      </c>
      <c r="T257" s="1">
        <v>8</v>
      </c>
      <c r="U257" s="1">
        <v>1</v>
      </c>
      <c r="V257" s="1">
        <v>5</v>
      </c>
      <c r="W257" s="1">
        <v>4</v>
      </c>
      <c r="X257" s="1">
        <v>3</v>
      </c>
      <c r="Y257" s="1">
        <v>2</v>
      </c>
      <c r="Z257" s="1">
        <v>2</v>
      </c>
      <c r="AA257" s="1">
        <v>5</v>
      </c>
      <c r="AB257" s="3">
        <v>34</v>
      </c>
      <c r="AC257" s="1">
        <v>3</v>
      </c>
      <c r="AD257" s="1">
        <v>6</v>
      </c>
      <c r="AE257" s="1">
        <v>4</v>
      </c>
      <c r="AF257" s="1">
        <v>3</v>
      </c>
      <c r="AG257" s="1">
        <v>3</v>
      </c>
      <c r="AH257" s="1">
        <v>0</v>
      </c>
      <c r="AI257" s="1">
        <v>8</v>
      </c>
      <c r="AJ257" s="1">
        <v>7</v>
      </c>
      <c r="AK257" s="1">
        <v>10</v>
      </c>
      <c r="AL257" s="1">
        <v>7</v>
      </c>
      <c r="AM257" s="1">
        <v>7</v>
      </c>
      <c r="AN257" s="1">
        <v>5</v>
      </c>
      <c r="AO257" s="3">
        <v>63</v>
      </c>
      <c r="AP257" s="1">
        <v>5</v>
      </c>
      <c r="AQ257" s="1">
        <v>4</v>
      </c>
      <c r="AR257" s="1">
        <v>4</v>
      </c>
      <c r="AS257" s="1">
        <v>5</v>
      </c>
      <c r="AT257" s="1">
        <v>20</v>
      </c>
      <c r="AU257" s="1">
        <v>7</v>
      </c>
      <c r="AV257" s="1">
        <v>8</v>
      </c>
      <c r="AW257" s="1">
        <v>19</v>
      </c>
      <c r="AX257" s="1">
        <v>9</v>
      </c>
      <c r="AY257" s="1">
        <v>12</v>
      </c>
      <c r="AZ257" s="1">
        <v>16</v>
      </c>
      <c r="BA257" s="1">
        <v>7</v>
      </c>
      <c r="BB257" s="3">
        <v>116</v>
      </c>
      <c r="BC257" s="1">
        <v>9</v>
      </c>
      <c r="BD257" s="1">
        <v>6</v>
      </c>
      <c r="BE257" s="1">
        <v>5</v>
      </c>
      <c r="BF257" s="1">
        <v>6</v>
      </c>
      <c r="BG257" s="1">
        <v>20</v>
      </c>
      <c r="BH257" s="1">
        <v>12</v>
      </c>
      <c r="BI257" s="1">
        <v>14</v>
      </c>
      <c r="BJ257" s="1">
        <v>21</v>
      </c>
      <c r="BK257" s="1">
        <v>14</v>
      </c>
      <c r="BL257" s="1">
        <v>12</v>
      </c>
      <c r="BM257" s="1">
        <v>13</v>
      </c>
      <c r="BN257" s="1">
        <v>16</v>
      </c>
      <c r="BO257" s="3">
        <v>148</v>
      </c>
      <c r="BP257" s="3">
        <f t="shared" si="4"/>
        <v>365</v>
      </c>
    </row>
    <row r="258" spans="1:68" x14ac:dyDescent="0.2">
      <c r="A258" s="3">
        <v>208</v>
      </c>
      <c r="B258" t="s">
        <v>265</v>
      </c>
      <c r="C258" s="1">
        <v>0</v>
      </c>
      <c r="D258" s="1">
        <v>1</v>
      </c>
      <c r="E258" s="1">
        <v>0</v>
      </c>
      <c r="F258" s="1">
        <v>1</v>
      </c>
      <c r="G258" s="1">
        <v>3</v>
      </c>
      <c r="H258" s="1">
        <v>1</v>
      </c>
      <c r="I258" s="1">
        <v>0</v>
      </c>
      <c r="J258" s="1">
        <v>0</v>
      </c>
      <c r="K258" s="1">
        <v>0</v>
      </c>
      <c r="L258" s="1">
        <v>0</v>
      </c>
      <c r="M258" s="1">
        <v>1</v>
      </c>
      <c r="N258" s="1">
        <v>1</v>
      </c>
      <c r="O258" s="3">
        <v>8</v>
      </c>
      <c r="P258" s="1">
        <v>6</v>
      </c>
      <c r="Q258" s="1">
        <v>7</v>
      </c>
      <c r="R258" s="1">
        <v>1</v>
      </c>
      <c r="S258" s="1">
        <v>4</v>
      </c>
      <c r="T258" s="1">
        <v>8</v>
      </c>
      <c r="U258" s="1">
        <v>4</v>
      </c>
      <c r="V258" s="1">
        <v>4</v>
      </c>
      <c r="W258" s="1">
        <v>6</v>
      </c>
      <c r="X258" s="1">
        <v>3</v>
      </c>
      <c r="Y258" s="1">
        <v>8</v>
      </c>
      <c r="Z258" s="1">
        <v>7</v>
      </c>
      <c r="AA258" s="1">
        <v>5</v>
      </c>
      <c r="AB258" s="3">
        <v>63</v>
      </c>
      <c r="AC258" s="1">
        <v>7</v>
      </c>
      <c r="AD258" s="1">
        <v>8</v>
      </c>
      <c r="AE258" s="1">
        <v>15</v>
      </c>
      <c r="AF258" s="1">
        <v>7</v>
      </c>
      <c r="AG258" s="1">
        <v>4</v>
      </c>
      <c r="AH258" s="1">
        <v>9</v>
      </c>
      <c r="AI258" s="1">
        <v>12</v>
      </c>
      <c r="AJ258" s="1">
        <v>7</v>
      </c>
      <c r="AK258" s="1">
        <v>11</v>
      </c>
      <c r="AL258" s="1">
        <v>4</v>
      </c>
      <c r="AM258" s="1">
        <v>5</v>
      </c>
      <c r="AN258" s="1">
        <v>7</v>
      </c>
      <c r="AO258" s="3">
        <v>96</v>
      </c>
      <c r="AP258" s="1">
        <v>8</v>
      </c>
      <c r="AQ258" s="1">
        <v>9</v>
      </c>
      <c r="AR258" s="1">
        <v>6</v>
      </c>
      <c r="AS258" s="1">
        <v>13</v>
      </c>
      <c r="AT258" s="1">
        <v>13</v>
      </c>
      <c r="AU258" s="1">
        <v>13</v>
      </c>
      <c r="AV258" s="1">
        <v>11</v>
      </c>
      <c r="AW258" s="1">
        <v>22</v>
      </c>
      <c r="AX258" s="1">
        <v>21</v>
      </c>
      <c r="AY258" s="1">
        <v>11</v>
      </c>
      <c r="AZ258" s="1">
        <v>16</v>
      </c>
      <c r="BA258" s="1">
        <v>16</v>
      </c>
      <c r="BB258" s="3">
        <v>159</v>
      </c>
      <c r="BC258" s="1">
        <v>9</v>
      </c>
      <c r="BD258" s="1">
        <v>10</v>
      </c>
      <c r="BE258" s="1">
        <v>9</v>
      </c>
      <c r="BF258" s="1">
        <v>8</v>
      </c>
      <c r="BG258" s="1">
        <v>24</v>
      </c>
      <c r="BH258" s="1">
        <v>14</v>
      </c>
      <c r="BI258" s="1">
        <v>17</v>
      </c>
      <c r="BJ258" s="1">
        <v>12</v>
      </c>
      <c r="BK258" s="1">
        <v>18</v>
      </c>
      <c r="BL258" s="1">
        <v>26</v>
      </c>
      <c r="BM258" s="1">
        <v>23</v>
      </c>
      <c r="BN258" s="1">
        <v>11</v>
      </c>
      <c r="BO258" s="3">
        <v>181</v>
      </c>
      <c r="BP258" s="3">
        <f t="shared" si="4"/>
        <v>507</v>
      </c>
    </row>
    <row r="259" spans="1:68" x14ac:dyDescent="0.2">
      <c r="A259" s="3">
        <v>209</v>
      </c>
      <c r="B259" t="s">
        <v>266</v>
      </c>
      <c r="C259" s="1">
        <v>0</v>
      </c>
      <c r="D259" s="1">
        <v>0</v>
      </c>
      <c r="E259" s="1">
        <v>0</v>
      </c>
      <c r="F259" s="1">
        <v>2</v>
      </c>
      <c r="G259" s="1">
        <v>3</v>
      </c>
      <c r="H259" s="1">
        <v>2</v>
      </c>
      <c r="I259" s="1">
        <v>0</v>
      </c>
      <c r="J259" s="1">
        <v>0</v>
      </c>
      <c r="K259" s="1">
        <v>0</v>
      </c>
      <c r="L259" s="1">
        <v>1</v>
      </c>
      <c r="M259" s="1">
        <v>2</v>
      </c>
      <c r="N259" s="1">
        <v>0</v>
      </c>
      <c r="O259" s="3">
        <v>10</v>
      </c>
      <c r="P259" s="1">
        <v>0</v>
      </c>
      <c r="Q259" s="1">
        <v>4</v>
      </c>
      <c r="R259" s="1">
        <v>9</v>
      </c>
      <c r="S259" s="1">
        <v>3</v>
      </c>
      <c r="T259" s="1">
        <v>2</v>
      </c>
      <c r="U259" s="1">
        <v>16</v>
      </c>
      <c r="V259" s="1">
        <v>4</v>
      </c>
      <c r="W259" s="1">
        <v>6</v>
      </c>
      <c r="X259" s="1">
        <v>4</v>
      </c>
      <c r="Y259" s="1">
        <v>12</v>
      </c>
      <c r="Z259" s="1">
        <v>18</v>
      </c>
      <c r="AA259" s="1">
        <v>55</v>
      </c>
      <c r="AB259" s="3">
        <v>133</v>
      </c>
      <c r="AC259" s="1">
        <v>25</v>
      </c>
      <c r="AD259" s="1">
        <v>2</v>
      </c>
      <c r="AE259" s="1">
        <v>15</v>
      </c>
      <c r="AF259" s="1">
        <v>23</v>
      </c>
      <c r="AG259" s="1">
        <v>23</v>
      </c>
      <c r="AH259" s="1">
        <v>23</v>
      </c>
      <c r="AI259" s="1">
        <v>41</v>
      </c>
      <c r="AJ259" s="1">
        <v>15</v>
      </c>
      <c r="AK259" s="1">
        <v>24</v>
      </c>
      <c r="AL259" s="1">
        <v>27</v>
      </c>
      <c r="AM259" s="1">
        <v>36</v>
      </c>
      <c r="AN259" s="1">
        <v>48</v>
      </c>
      <c r="AO259" s="3">
        <v>302</v>
      </c>
      <c r="AP259" s="1">
        <v>27</v>
      </c>
      <c r="AQ259" s="1">
        <v>9</v>
      </c>
      <c r="AR259" s="1">
        <v>19</v>
      </c>
      <c r="AS259" s="1">
        <v>21</v>
      </c>
      <c r="AT259" s="1">
        <v>38</v>
      </c>
      <c r="AU259" s="1">
        <v>65</v>
      </c>
      <c r="AV259" s="1">
        <v>18</v>
      </c>
      <c r="AW259" s="1">
        <v>16</v>
      </c>
      <c r="AX259" s="1">
        <v>33</v>
      </c>
      <c r="AY259" s="1">
        <v>27</v>
      </c>
      <c r="AZ259" s="1">
        <v>19</v>
      </c>
      <c r="BA259" s="1">
        <v>54</v>
      </c>
      <c r="BB259" s="3">
        <v>346</v>
      </c>
      <c r="BC259" s="1">
        <v>16</v>
      </c>
      <c r="BD259" s="1">
        <v>8</v>
      </c>
      <c r="BE259" s="1">
        <v>18</v>
      </c>
      <c r="BF259" s="1">
        <v>16</v>
      </c>
      <c r="BG259" s="1">
        <v>35</v>
      </c>
      <c r="BH259" s="1">
        <v>50</v>
      </c>
      <c r="BI259" s="1">
        <v>25</v>
      </c>
      <c r="BJ259" s="1">
        <v>15</v>
      </c>
      <c r="BK259" s="1">
        <v>43</v>
      </c>
      <c r="BL259" s="1">
        <v>48</v>
      </c>
      <c r="BM259" s="1">
        <v>22</v>
      </c>
      <c r="BN259" s="1">
        <v>36</v>
      </c>
      <c r="BO259" s="3">
        <v>332</v>
      </c>
      <c r="BP259" s="3">
        <f t="shared" si="4"/>
        <v>1123</v>
      </c>
    </row>
    <row r="260" spans="1:68" x14ac:dyDescent="0.2">
      <c r="A260" s="3">
        <v>210</v>
      </c>
      <c r="B260" t="s">
        <v>267</v>
      </c>
      <c r="C260" s="1">
        <v>0</v>
      </c>
      <c r="D260" s="1">
        <v>0</v>
      </c>
      <c r="E260" s="1">
        <v>0</v>
      </c>
      <c r="F260" s="1">
        <v>0</v>
      </c>
      <c r="G260" s="1">
        <v>0</v>
      </c>
      <c r="H260" s="1">
        <v>1</v>
      </c>
      <c r="I260" s="1">
        <v>2</v>
      </c>
      <c r="J260" s="1">
        <v>5</v>
      </c>
      <c r="K260" s="1">
        <v>0</v>
      </c>
      <c r="L260" s="1">
        <v>0</v>
      </c>
      <c r="M260" s="1">
        <v>1</v>
      </c>
      <c r="N260" s="1">
        <v>2</v>
      </c>
      <c r="O260" s="3">
        <v>11</v>
      </c>
      <c r="P260" s="1">
        <v>1</v>
      </c>
      <c r="Q260" s="1">
        <v>9</v>
      </c>
      <c r="R260" s="1">
        <v>1</v>
      </c>
      <c r="S260" s="1">
        <v>4</v>
      </c>
      <c r="T260" s="1">
        <v>13</v>
      </c>
      <c r="U260" s="1">
        <v>2</v>
      </c>
      <c r="V260" s="1">
        <v>2</v>
      </c>
      <c r="W260" s="1">
        <v>4</v>
      </c>
      <c r="X260" s="1">
        <v>19</v>
      </c>
      <c r="Y260" s="1">
        <v>5</v>
      </c>
      <c r="Z260" s="1">
        <v>1</v>
      </c>
      <c r="AA260" s="1">
        <v>1</v>
      </c>
      <c r="AB260" s="3">
        <v>62</v>
      </c>
      <c r="AC260" s="1">
        <v>5</v>
      </c>
      <c r="AD260" s="1">
        <v>9</v>
      </c>
      <c r="AE260" s="1">
        <v>8</v>
      </c>
      <c r="AF260" s="1">
        <v>5</v>
      </c>
      <c r="AG260" s="1">
        <v>4</v>
      </c>
      <c r="AH260" s="1">
        <v>10</v>
      </c>
      <c r="AI260" s="1">
        <v>12</v>
      </c>
      <c r="AJ260" s="1">
        <v>19</v>
      </c>
      <c r="AK260" s="1">
        <v>20</v>
      </c>
      <c r="AL260" s="1">
        <v>16</v>
      </c>
      <c r="AM260" s="1">
        <v>20</v>
      </c>
      <c r="AN260" s="1">
        <v>7</v>
      </c>
      <c r="AO260" s="3">
        <v>135</v>
      </c>
      <c r="AP260" s="1">
        <v>2</v>
      </c>
      <c r="AQ260" s="1">
        <v>8</v>
      </c>
      <c r="AR260" s="1">
        <v>2</v>
      </c>
      <c r="AS260" s="1">
        <v>1</v>
      </c>
      <c r="AT260" s="1">
        <v>6</v>
      </c>
      <c r="AU260" s="1">
        <v>9</v>
      </c>
      <c r="AV260" s="1">
        <v>2</v>
      </c>
      <c r="AW260" s="1">
        <v>15</v>
      </c>
      <c r="AX260" s="1">
        <v>7</v>
      </c>
      <c r="AY260" s="1">
        <v>7</v>
      </c>
      <c r="AZ260" s="1">
        <v>15</v>
      </c>
      <c r="BA260" s="1">
        <v>3</v>
      </c>
      <c r="BB260" s="3">
        <v>77</v>
      </c>
      <c r="BC260" s="1">
        <v>6</v>
      </c>
      <c r="BD260" s="1">
        <v>4</v>
      </c>
      <c r="BE260" s="1">
        <v>2</v>
      </c>
      <c r="BF260" s="1">
        <v>4</v>
      </c>
      <c r="BG260" s="1">
        <v>2</v>
      </c>
      <c r="BH260" s="1">
        <v>5</v>
      </c>
      <c r="BI260" s="1">
        <v>7</v>
      </c>
      <c r="BJ260" s="1">
        <v>12</v>
      </c>
      <c r="BK260" s="1">
        <v>6</v>
      </c>
      <c r="BL260" s="1">
        <v>8</v>
      </c>
      <c r="BM260" s="1">
        <v>17</v>
      </c>
      <c r="BN260" s="1">
        <v>4</v>
      </c>
      <c r="BO260" s="3">
        <v>77</v>
      </c>
      <c r="BP260" s="3">
        <f t="shared" si="4"/>
        <v>362</v>
      </c>
    </row>
    <row r="261" spans="1:68" x14ac:dyDescent="0.2">
      <c r="A261" s="3">
        <v>211</v>
      </c>
      <c r="B261" t="s">
        <v>268</v>
      </c>
      <c r="C261" s="1">
        <v>0</v>
      </c>
      <c r="D261" s="1">
        <v>0</v>
      </c>
      <c r="E261" s="1">
        <v>0</v>
      </c>
      <c r="F261" s="1">
        <v>0</v>
      </c>
      <c r="G261" s="1">
        <v>0</v>
      </c>
      <c r="H261" s="1">
        <v>0</v>
      </c>
      <c r="I261" s="1">
        <v>0</v>
      </c>
      <c r="J261" s="1">
        <v>0</v>
      </c>
      <c r="K261" s="1">
        <v>0</v>
      </c>
      <c r="L261" s="1">
        <v>0</v>
      </c>
      <c r="M261" s="1">
        <v>0</v>
      </c>
      <c r="N261" s="1">
        <v>0</v>
      </c>
      <c r="O261" s="3">
        <v>0</v>
      </c>
      <c r="P261" s="1">
        <v>0</v>
      </c>
      <c r="Q261" s="1">
        <v>0</v>
      </c>
      <c r="R261" s="1">
        <v>10</v>
      </c>
      <c r="S261" s="1">
        <v>0</v>
      </c>
      <c r="T261" s="1">
        <v>9</v>
      </c>
      <c r="U261" s="1">
        <v>1</v>
      </c>
      <c r="V261" s="1">
        <v>4</v>
      </c>
      <c r="W261" s="1">
        <v>12</v>
      </c>
      <c r="X261" s="1">
        <v>2</v>
      </c>
      <c r="Y261" s="1">
        <v>1</v>
      </c>
      <c r="Z261" s="1">
        <v>8</v>
      </c>
      <c r="AA261" s="1">
        <v>27</v>
      </c>
      <c r="AB261" s="3">
        <v>74</v>
      </c>
      <c r="AC261" s="1">
        <v>5</v>
      </c>
      <c r="AD261" s="1">
        <v>6</v>
      </c>
      <c r="AE261" s="1">
        <v>11</v>
      </c>
      <c r="AF261" s="1">
        <v>21</v>
      </c>
      <c r="AG261" s="1">
        <v>8</v>
      </c>
      <c r="AH261" s="1">
        <v>22</v>
      </c>
      <c r="AI261" s="1">
        <v>24</v>
      </c>
      <c r="AJ261" s="1">
        <v>18</v>
      </c>
      <c r="AK261" s="1">
        <v>23</v>
      </c>
      <c r="AL261" s="1">
        <v>52</v>
      </c>
      <c r="AM261" s="1">
        <v>16</v>
      </c>
      <c r="AN261" s="1">
        <v>39</v>
      </c>
      <c r="AO261" s="3">
        <v>245</v>
      </c>
      <c r="AP261" s="1">
        <v>11</v>
      </c>
      <c r="AQ261" s="1">
        <v>15</v>
      </c>
      <c r="AR261" s="1">
        <v>4</v>
      </c>
      <c r="AS261" s="1">
        <v>28</v>
      </c>
      <c r="AT261" s="1">
        <v>20</v>
      </c>
      <c r="AU261" s="1">
        <v>17</v>
      </c>
      <c r="AV261" s="1">
        <v>8</v>
      </c>
      <c r="AW261" s="1">
        <v>9</v>
      </c>
      <c r="AX261" s="1">
        <v>8</v>
      </c>
      <c r="AY261" s="1">
        <v>19</v>
      </c>
      <c r="AZ261" s="1">
        <v>17</v>
      </c>
      <c r="BA261" s="1">
        <v>28</v>
      </c>
      <c r="BB261" s="3">
        <v>184</v>
      </c>
      <c r="BC261" s="1">
        <v>15</v>
      </c>
      <c r="BD261" s="1">
        <v>30</v>
      </c>
      <c r="BE261" s="1">
        <v>11</v>
      </c>
      <c r="BF261" s="1">
        <v>38</v>
      </c>
      <c r="BG261" s="1">
        <v>15</v>
      </c>
      <c r="BH261" s="1">
        <v>14</v>
      </c>
      <c r="BI261" s="1">
        <v>13</v>
      </c>
      <c r="BJ261" s="1">
        <v>19</v>
      </c>
      <c r="BK261" s="1">
        <v>31</v>
      </c>
      <c r="BL261" s="1">
        <v>17</v>
      </c>
      <c r="BM261" s="1">
        <v>16</v>
      </c>
      <c r="BN261" s="1">
        <v>43</v>
      </c>
      <c r="BO261" s="3">
        <v>262</v>
      </c>
      <c r="BP261" s="3">
        <f t="shared" si="4"/>
        <v>765</v>
      </c>
    </row>
    <row r="262" spans="1:68" x14ac:dyDescent="0.2">
      <c r="A262" s="3">
        <v>212</v>
      </c>
      <c r="B262" t="s">
        <v>269</v>
      </c>
      <c r="C262" s="1">
        <v>4</v>
      </c>
      <c r="D262" s="1">
        <v>0</v>
      </c>
      <c r="E262" s="1">
        <v>0</v>
      </c>
      <c r="F262" s="1">
        <v>1</v>
      </c>
      <c r="G262" s="1">
        <v>1</v>
      </c>
      <c r="H262" s="1">
        <v>3</v>
      </c>
      <c r="I262" s="1">
        <v>0</v>
      </c>
      <c r="J262" s="1">
        <v>0</v>
      </c>
      <c r="K262" s="1">
        <v>0</v>
      </c>
      <c r="L262" s="1">
        <v>0</v>
      </c>
      <c r="M262" s="1">
        <v>1</v>
      </c>
      <c r="N262" s="1">
        <v>3</v>
      </c>
      <c r="O262" s="3">
        <v>13</v>
      </c>
      <c r="P262" s="1">
        <v>0</v>
      </c>
      <c r="Q262" s="1">
        <v>1</v>
      </c>
      <c r="R262" s="1">
        <v>0</v>
      </c>
      <c r="S262" s="1">
        <v>0</v>
      </c>
      <c r="T262" s="1">
        <v>5</v>
      </c>
      <c r="U262" s="1">
        <v>1</v>
      </c>
      <c r="V262" s="1">
        <v>1</v>
      </c>
      <c r="W262" s="1">
        <v>3</v>
      </c>
      <c r="X262" s="1">
        <v>9</v>
      </c>
      <c r="Y262" s="1">
        <v>1</v>
      </c>
      <c r="Z262" s="1">
        <v>0</v>
      </c>
      <c r="AA262" s="1">
        <v>0</v>
      </c>
      <c r="AB262" s="3">
        <v>21</v>
      </c>
      <c r="AC262" s="1">
        <v>1</v>
      </c>
      <c r="AD262" s="1">
        <v>4</v>
      </c>
      <c r="AE262" s="1">
        <v>2</v>
      </c>
      <c r="AF262" s="1">
        <v>0</v>
      </c>
      <c r="AG262" s="1">
        <v>2</v>
      </c>
      <c r="AH262" s="1">
        <v>1</v>
      </c>
      <c r="AI262" s="1">
        <v>0</v>
      </c>
      <c r="AJ262" s="1">
        <v>7</v>
      </c>
      <c r="AK262" s="1">
        <v>1</v>
      </c>
      <c r="AL262" s="1">
        <v>1</v>
      </c>
      <c r="AM262" s="1">
        <v>1</v>
      </c>
      <c r="AN262" s="1">
        <v>0</v>
      </c>
      <c r="AO262" s="3">
        <v>20</v>
      </c>
      <c r="AP262" s="1">
        <v>4</v>
      </c>
      <c r="AQ262" s="1">
        <v>0</v>
      </c>
      <c r="AR262" s="1">
        <v>4</v>
      </c>
      <c r="AS262" s="1">
        <v>3</v>
      </c>
      <c r="AT262" s="1">
        <v>0</v>
      </c>
      <c r="AU262" s="1">
        <v>2</v>
      </c>
      <c r="AV262" s="1">
        <v>5</v>
      </c>
      <c r="AW262" s="1">
        <v>15</v>
      </c>
      <c r="AX262" s="1">
        <v>6</v>
      </c>
      <c r="AY262" s="1">
        <v>5</v>
      </c>
      <c r="AZ262" s="1">
        <v>9</v>
      </c>
      <c r="BA262" s="1">
        <v>4</v>
      </c>
      <c r="BB262" s="3">
        <v>57</v>
      </c>
      <c r="BC262" s="1">
        <v>3</v>
      </c>
      <c r="BD262" s="1">
        <v>3</v>
      </c>
      <c r="BE262" s="1">
        <v>12</v>
      </c>
      <c r="BF262" s="1">
        <v>8</v>
      </c>
      <c r="BG262" s="1">
        <v>7</v>
      </c>
      <c r="BH262" s="1">
        <v>3</v>
      </c>
      <c r="BI262" s="1">
        <v>15</v>
      </c>
      <c r="BJ262" s="1">
        <v>11</v>
      </c>
      <c r="BK262" s="1">
        <v>10</v>
      </c>
      <c r="BL262" s="1">
        <v>12</v>
      </c>
      <c r="BM262" s="1">
        <v>13</v>
      </c>
      <c r="BN262" s="1">
        <v>16</v>
      </c>
      <c r="BO262" s="3">
        <v>113</v>
      </c>
      <c r="BP262" s="3">
        <f t="shared" ref="BP262:BP287" si="5">SUM($BO262,$BB262,$AO262,$AB262,$O262)</f>
        <v>224</v>
      </c>
    </row>
    <row r="263" spans="1:68" x14ac:dyDescent="0.2">
      <c r="A263" s="3">
        <v>213</v>
      </c>
      <c r="B263" t="s">
        <v>270</v>
      </c>
      <c r="C263" s="1">
        <v>0</v>
      </c>
      <c r="D263" s="1">
        <v>0</v>
      </c>
      <c r="E263" s="1">
        <v>0</v>
      </c>
      <c r="F263" s="1">
        <v>0</v>
      </c>
      <c r="G263" s="1">
        <v>0</v>
      </c>
      <c r="H263" s="1">
        <v>0</v>
      </c>
      <c r="I263" s="1">
        <v>0</v>
      </c>
      <c r="J263" s="1">
        <v>0</v>
      </c>
      <c r="K263" s="1">
        <v>1</v>
      </c>
      <c r="L263" s="1">
        <v>0</v>
      </c>
      <c r="M263" s="1">
        <v>0</v>
      </c>
      <c r="N263" s="1">
        <v>0</v>
      </c>
      <c r="O263" s="3">
        <v>1</v>
      </c>
      <c r="P263" s="1">
        <v>0</v>
      </c>
      <c r="Q263" s="1">
        <v>0</v>
      </c>
      <c r="R263" s="1">
        <v>2</v>
      </c>
      <c r="S263" s="1">
        <v>1</v>
      </c>
      <c r="T263" s="1">
        <v>6</v>
      </c>
      <c r="U263" s="1">
        <v>1</v>
      </c>
      <c r="V263" s="1">
        <v>8</v>
      </c>
      <c r="W263" s="1">
        <v>79</v>
      </c>
      <c r="X263" s="1">
        <v>0</v>
      </c>
      <c r="Y263" s="1">
        <v>5</v>
      </c>
      <c r="Z263" s="1">
        <v>4</v>
      </c>
      <c r="AA263" s="1">
        <v>3</v>
      </c>
      <c r="AB263" s="3">
        <v>109</v>
      </c>
      <c r="AC263" s="1">
        <v>5</v>
      </c>
      <c r="AD263" s="1">
        <v>5</v>
      </c>
      <c r="AE263" s="1">
        <v>10</v>
      </c>
      <c r="AF263" s="1">
        <v>3</v>
      </c>
      <c r="AG263" s="1">
        <v>7</v>
      </c>
      <c r="AH263" s="1">
        <v>2</v>
      </c>
      <c r="AI263" s="1">
        <v>10</v>
      </c>
      <c r="AJ263" s="1">
        <v>0</v>
      </c>
      <c r="AK263" s="1">
        <v>6</v>
      </c>
      <c r="AL263" s="1">
        <v>8</v>
      </c>
      <c r="AM263" s="1">
        <v>4</v>
      </c>
      <c r="AN263" s="1">
        <v>3</v>
      </c>
      <c r="AO263" s="3">
        <v>63</v>
      </c>
      <c r="AP263" s="1">
        <v>2</v>
      </c>
      <c r="AQ263" s="1">
        <v>3</v>
      </c>
      <c r="AR263" s="1">
        <v>5</v>
      </c>
      <c r="AS263" s="1">
        <v>8</v>
      </c>
      <c r="AT263" s="1">
        <v>67</v>
      </c>
      <c r="AU263" s="1">
        <v>2</v>
      </c>
      <c r="AV263" s="1">
        <v>22</v>
      </c>
      <c r="AW263" s="1">
        <v>22</v>
      </c>
      <c r="AX263" s="1">
        <v>11</v>
      </c>
      <c r="AY263" s="1">
        <v>8</v>
      </c>
      <c r="AZ263" s="1">
        <v>17</v>
      </c>
      <c r="BA263" s="1">
        <v>3</v>
      </c>
      <c r="BB263" s="3">
        <v>170</v>
      </c>
      <c r="BC263" s="1">
        <v>5</v>
      </c>
      <c r="BD263" s="1">
        <v>1</v>
      </c>
      <c r="BE263" s="1">
        <v>5</v>
      </c>
      <c r="BF263" s="1">
        <v>3</v>
      </c>
      <c r="BG263" s="1">
        <v>5</v>
      </c>
      <c r="BH263" s="1">
        <v>5</v>
      </c>
      <c r="BI263" s="1">
        <v>91</v>
      </c>
      <c r="BJ263" s="1">
        <v>5</v>
      </c>
      <c r="BK263" s="1">
        <v>10</v>
      </c>
      <c r="BL263" s="1">
        <v>9</v>
      </c>
      <c r="BM263" s="1">
        <v>6</v>
      </c>
      <c r="BN263" s="1">
        <v>3</v>
      </c>
      <c r="BO263" s="3">
        <v>148</v>
      </c>
      <c r="BP263" s="3">
        <f t="shared" si="5"/>
        <v>491</v>
      </c>
    </row>
    <row r="264" spans="1:68" x14ac:dyDescent="0.2">
      <c r="A264" s="3">
        <v>214</v>
      </c>
      <c r="B264" t="s">
        <v>271</v>
      </c>
      <c r="C264" s="1">
        <v>1</v>
      </c>
      <c r="D264" s="1">
        <v>0</v>
      </c>
      <c r="E264" s="1">
        <v>0</v>
      </c>
      <c r="F264" s="1">
        <v>0</v>
      </c>
      <c r="G264" s="1">
        <v>1</v>
      </c>
      <c r="H264" s="1">
        <v>1</v>
      </c>
      <c r="I264" s="1">
        <v>1</v>
      </c>
      <c r="J264" s="1">
        <v>0</v>
      </c>
      <c r="K264" s="1">
        <v>0</v>
      </c>
      <c r="L264" s="1">
        <v>0</v>
      </c>
      <c r="M264" s="1">
        <v>3</v>
      </c>
      <c r="N264" s="1">
        <v>0</v>
      </c>
      <c r="O264" s="3">
        <v>7</v>
      </c>
      <c r="P264" s="1">
        <v>4</v>
      </c>
      <c r="Q264" s="1">
        <v>0</v>
      </c>
      <c r="R264" s="1">
        <v>4</v>
      </c>
      <c r="S264" s="1">
        <v>0</v>
      </c>
      <c r="T264" s="1">
        <v>2</v>
      </c>
      <c r="U264" s="1">
        <v>1</v>
      </c>
      <c r="V264" s="1">
        <v>0</v>
      </c>
      <c r="W264" s="1">
        <v>2</v>
      </c>
      <c r="X264" s="1">
        <v>6</v>
      </c>
      <c r="Y264" s="1">
        <v>9</v>
      </c>
      <c r="Z264" s="1">
        <v>3</v>
      </c>
      <c r="AA264" s="1">
        <v>2</v>
      </c>
      <c r="AB264" s="3">
        <v>33</v>
      </c>
      <c r="AC264" s="1">
        <v>6</v>
      </c>
      <c r="AD264" s="1">
        <v>2</v>
      </c>
      <c r="AE264" s="1">
        <v>0</v>
      </c>
      <c r="AF264" s="1">
        <v>2</v>
      </c>
      <c r="AG264" s="1">
        <v>4</v>
      </c>
      <c r="AH264" s="1">
        <v>2</v>
      </c>
      <c r="AI264" s="1">
        <v>7</v>
      </c>
      <c r="AJ264" s="1">
        <v>8</v>
      </c>
      <c r="AK264" s="1">
        <v>9</v>
      </c>
      <c r="AL264" s="1">
        <v>1</v>
      </c>
      <c r="AM264" s="1">
        <v>9</v>
      </c>
      <c r="AN264" s="1">
        <v>2</v>
      </c>
      <c r="AO264" s="3">
        <v>52</v>
      </c>
      <c r="AP264" s="1">
        <v>4</v>
      </c>
      <c r="AQ264" s="1">
        <v>7</v>
      </c>
      <c r="AR264" s="1">
        <v>0</v>
      </c>
      <c r="AS264" s="1">
        <v>0</v>
      </c>
      <c r="AT264" s="1">
        <v>6</v>
      </c>
      <c r="AU264" s="1">
        <v>4</v>
      </c>
      <c r="AV264" s="1">
        <v>4</v>
      </c>
      <c r="AW264" s="1">
        <v>7</v>
      </c>
      <c r="AX264" s="1">
        <v>6</v>
      </c>
      <c r="AY264" s="1">
        <v>11</v>
      </c>
      <c r="AZ264" s="1">
        <v>30</v>
      </c>
      <c r="BA264" s="1">
        <v>7</v>
      </c>
      <c r="BB264" s="3">
        <v>86</v>
      </c>
      <c r="BC264" s="1">
        <v>14</v>
      </c>
      <c r="BD264" s="1">
        <v>13</v>
      </c>
      <c r="BE264" s="1">
        <v>10</v>
      </c>
      <c r="BF264" s="1">
        <v>8</v>
      </c>
      <c r="BG264" s="1">
        <v>10</v>
      </c>
      <c r="BH264" s="1">
        <v>14</v>
      </c>
      <c r="BI264" s="1">
        <v>7</v>
      </c>
      <c r="BJ264" s="1">
        <v>17</v>
      </c>
      <c r="BK264" s="1">
        <v>19</v>
      </c>
      <c r="BL264" s="1">
        <v>13</v>
      </c>
      <c r="BM264" s="1">
        <v>15</v>
      </c>
      <c r="BN264" s="1">
        <v>6</v>
      </c>
      <c r="BO264" s="3">
        <v>146</v>
      </c>
      <c r="BP264" s="3">
        <f t="shared" si="5"/>
        <v>324</v>
      </c>
    </row>
    <row r="265" spans="1:68" x14ac:dyDescent="0.2">
      <c r="A265" s="3">
        <v>215</v>
      </c>
      <c r="B265" t="s">
        <v>272</v>
      </c>
      <c r="C265" s="1">
        <v>0</v>
      </c>
      <c r="D265" s="1">
        <v>0</v>
      </c>
      <c r="E265" s="1">
        <v>0</v>
      </c>
      <c r="F265" s="1">
        <v>0</v>
      </c>
      <c r="G265" s="1">
        <v>0</v>
      </c>
      <c r="H265" s="1">
        <v>0</v>
      </c>
      <c r="I265" s="1">
        <v>0</v>
      </c>
      <c r="J265" s="1">
        <v>0</v>
      </c>
      <c r="K265" s="1">
        <v>0</v>
      </c>
      <c r="L265" s="1">
        <v>0</v>
      </c>
      <c r="M265" s="1">
        <v>0</v>
      </c>
      <c r="N265" s="1">
        <v>0</v>
      </c>
      <c r="O265" s="3">
        <v>0</v>
      </c>
      <c r="P265" s="1">
        <v>0</v>
      </c>
      <c r="Q265" s="1">
        <v>1</v>
      </c>
      <c r="R265" s="1">
        <v>3</v>
      </c>
      <c r="S265" s="1">
        <v>2</v>
      </c>
      <c r="T265" s="1">
        <v>3</v>
      </c>
      <c r="U265" s="1">
        <v>1</v>
      </c>
      <c r="V265" s="1">
        <v>3</v>
      </c>
      <c r="W265" s="1">
        <v>3</v>
      </c>
      <c r="X265" s="1">
        <v>7</v>
      </c>
      <c r="Y265" s="1">
        <v>2</v>
      </c>
      <c r="Z265" s="1">
        <v>3</v>
      </c>
      <c r="AA265" s="1">
        <v>13</v>
      </c>
      <c r="AB265" s="3">
        <v>41</v>
      </c>
      <c r="AC265" s="1">
        <v>2</v>
      </c>
      <c r="AD265" s="1">
        <v>1</v>
      </c>
      <c r="AE265" s="1">
        <v>1</v>
      </c>
      <c r="AF265" s="1">
        <v>3</v>
      </c>
      <c r="AG265" s="1">
        <v>4</v>
      </c>
      <c r="AH265" s="1">
        <v>0</v>
      </c>
      <c r="AI265" s="1">
        <v>3</v>
      </c>
      <c r="AJ265" s="1">
        <v>9</v>
      </c>
      <c r="AK265" s="1">
        <v>2</v>
      </c>
      <c r="AL265" s="1">
        <v>6</v>
      </c>
      <c r="AM265" s="1">
        <v>1</v>
      </c>
      <c r="AN265" s="1">
        <v>4</v>
      </c>
      <c r="AO265" s="3">
        <v>36</v>
      </c>
      <c r="AP265" s="1">
        <v>5</v>
      </c>
      <c r="AQ265" s="1">
        <v>3</v>
      </c>
      <c r="AR265" s="1">
        <v>4</v>
      </c>
      <c r="AS265" s="1">
        <v>2</v>
      </c>
      <c r="AT265" s="1">
        <v>6</v>
      </c>
      <c r="AU265" s="1">
        <v>1</v>
      </c>
      <c r="AV265" s="1">
        <v>3</v>
      </c>
      <c r="AW265" s="1">
        <v>5</v>
      </c>
      <c r="AX265" s="1">
        <v>9</v>
      </c>
      <c r="AY265" s="1">
        <v>3</v>
      </c>
      <c r="AZ265" s="1">
        <v>3</v>
      </c>
      <c r="BA265" s="1">
        <v>13</v>
      </c>
      <c r="BB265" s="3">
        <v>57</v>
      </c>
      <c r="BC265" s="1">
        <v>4</v>
      </c>
      <c r="BD265" s="1">
        <v>4</v>
      </c>
      <c r="BE265" s="1">
        <v>10</v>
      </c>
      <c r="BF265" s="1">
        <v>9</v>
      </c>
      <c r="BG265" s="1">
        <v>4</v>
      </c>
      <c r="BH265" s="1">
        <v>4</v>
      </c>
      <c r="BI265" s="1">
        <v>171</v>
      </c>
      <c r="BJ265" s="1">
        <v>6</v>
      </c>
      <c r="BK265" s="1">
        <v>10</v>
      </c>
      <c r="BL265" s="1">
        <v>5</v>
      </c>
      <c r="BM265" s="1">
        <v>3</v>
      </c>
      <c r="BN265" s="1">
        <v>8</v>
      </c>
      <c r="BO265" s="3">
        <v>238</v>
      </c>
      <c r="BP265" s="3">
        <f t="shared" si="5"/>
        <v>372</v>
      </c>
    </row>
    <row r="266" spans="1:68" x14ac:dyDescent="0.2">
      <c r="A266" s="3">
        <v>216</v>
      </c>
      <c r="B266" t="s">
        <v>273</v>
      </c>
      <c r="C266" s="1">
        <v>2</v>
      </c>
      <c r="D266" s="1">
        <v>1</v>
      </c>
      <c r="E266" s="1">
        <v>2</v>
      </c>
      <c r="F266" s="1">
        <v>6</v>
      </c>
      <c r="G266" s="1">
        <v>18</v>
      </c>
      <c r="H266" s="1">
        <v>10</v>
      </c>
      <c r="I266" s="1">
        <v>3</v>
      </c>
      <c r="J266" s="1">
        <v>0</v>
      </c>
      <c r="K266" s="1">
        <v>3</v>
      </c>
      <c r="L266" s="1">
        <v>2</v>
      </c>
      <c r="M266" s="1">
        <v>0</v>
      </c>
      <c r="N266" s="1">
        <v>2</v>
      </c>
      <c r="O266" s="3">
        <v>49</v>
      </c>
      <c r="P266" s="1">
        <v>8</v>
      </c>
      <c r="Q266" s="1">
        <v>6</v>
      </c>
      <c r="R266" s="1">
        <v>14</v>
      </c>
      <c r="S266" s="1">
        <v>4</v>
      </c>
      <c r="T266" s="1">
        <v>15</v>
      </c>
      <c r="U266" s="1">
        <v>14</v>
      </c>
      <c r="V266" s="1">
        <v>9</v>
      </c>
      <c r="W266" s="1">
        <v>8</v>
      </c>
      <c r="X266" s="1">
        <v>16</v>
      </c>
      <c r="Y266" s="1">
        <v>20</v>
      </c>
      <c r="Z266" s="1">
        <v>14</v>
      </c>
      <c r="AA266" s="1">
        <v>9</v>
      </c>
      <c r="AB266" s="3">
        <v>137</v>
      </c>
      <c r="AC266" s="1">
        <v>20</v>
      </c>
      <c r="AD266" s="1">
        <v>2</v>
      </c>
      <c r="AE266" s="1">
        <v>7</v>
      </c>
      <c r="AF266" s="1">
        <v>37</v>
      </c>
      <c r="AG266" s="1">
        <v>10</v>
      </c>
      <c r="AH266" s="1">
        <v>11</v>
      </c>
      <c r="AI266" s="1">
        <v>19</v>
      </c>
      <c r="AJ266" s="1">
        <v>43</v>
      </c>
      <c r="AK266" s="1">
        <v>18</v>
      </c>
      <c r="AL266" s="1">
        <v>10</v>
      </c>
      <c r="AM266" s="1">
        <v>19</v>
      </c>
      <c r="AN266" s="1">
        <v>12</v>
      </c>
      <c r="AO266" s="3">
        <v>208</v>
      </c>
      <c r="AP266" s="1">
        <v>10</v>
      </c>
      <c r="AQ266" s="1">
        <v>13</v>
      </c>
      <c r="AR266" s="1">
        <v>20</v>
      </c>
      <c r="AS266" s="1">
        <v>9</v>
      </c>
      <c r="AT266" s="1">
        <v>48</v>
      </c>
      <c r="AU266" s="1">
        <v>21</v>
      </c>
      <c r="AV266" s="1">
        <v>52</v>
      </c>
      <c r="AW266" s="1">
        <v>53</v>
      </c>
      <c r="AX266" s="1">
        <v>34</v>
      </c>
      <c r="AY266" s="1">
        <v>26</v>
      </c>
      <c r="AZ266" s="1">
        <v>64</v>
      </c>
      <c r="BA266" s="1">
        <v>16</v>
      </c>
      <c r="BB266" s="3">
        <v>366</v>
      </c>
      <c r="BC266" s="1">
        <v>18</v>
      </c>
      <c r="BD266" s="1">
        <v>19</v>
      </c>
      <c r="BE266" s="1">
        <v>12</v>
      </c>
      <c r="BF266" s="1">
        <v>19</v>
      </c>
      <c r="BG266" s="1">
        <v>38</v>
      </c>
      <c r="BH266" s="1">
        <v>18</v>
      </c>
      <c r="BI266" s="1">
        <v>27</v>
      </c>
      <c r="BJ266" s="1">
        <v>53</v>
      </c>
      <c r="BK266" s="1">
        <v>41</v>
      </c>
      <c r="BL266" s="1">
        <v>35</v>
      </c>
      <c r="BM266" s="1">
        <v>38</v>
      </c>
      <c r="BN266" s="1">
        <v>31</v>
      </c>
      <c r="BO266" s="3">
        <v>349</v>
      </c>
      <c r="BP266" s="3">
        <f t="shared" si="5"/>
        <v>1109</v>
      </c>
    </row>
    <row r="267" spans="1:68" x14ac:dyDescent="0.2">
      <c r="A267" s="3">
        <v>217</v>
      </c>
      <c r="B267" t="s">
        <v>274</v>
      </c>
      <c r="C267" s="1">
        <v>0</v>
      </c>
      <c r="D267" s="1">
        <v>1</v>
      </c>
      <c r="E267" s="1">
        <v>0</v>
      </c>
      <c r="F267" s="1">
        <v>1</v>
      </c>
      <c r="G267" s="1">
        <v>0</v>
      </c>
      <c r="H267" s="1">
        <v>0</v>
      </c>
      <c r="I267" s="1">
        <v>0</v>
      </c>
      <c r="J267" s="1">
        <v>0</v>
      </c>
      <c r="K267" s="1">
        <v>0</v>
      </c>
      <c r="L267" s="1">
        <v>0</v>
      </c>
      <c r="M267" s="1">
        <v>1</v>
      </c>
      <c r="N267" s="1">
        <v>1</v>
      </c>
      <c r="O267" s="3">
        <v>4</v>
      </c>
      <c r="P267" s="1">
        <v>0</v>
      </c>
      <c r="Q267" s="1">
        <v>0</v>
      </c>
      <c r="R267" s="1">
        <v>2</v>
      </c>
      <c r="S267" s="1">
        <v>0</v>
      </c>
      <c r="T267" s="1">
        <v>4</v>
      </c>
      <c r="U267" s="1">
        <v>0</v>
      </c>
      <c r="V267" s="1">
        <v>1</v>
      </c>
      <c r="W267" s="1">
        <v>3</v>
      </c>
      <c r="X267" s="1">
        <v>2</v>
      </c>
      <c r="Y267" s="1">
        <v>8</v>
      </c>
      <c r="Z267" s="1">
        <v>3</v>
      </c>
      <c r="AA267" s="1">
        <v>5</v>
      </c>
      <c r="AB267" s="3">
        <v>28</v>
      </c>
      <c r="AC267" s="1">
        <v>6</v>
      </c>
      <c r="AD267" s="1">
        <v>6</v>
      </c>
      <c r="AE267" s="1">
        <v>2</v>
      </c>
      <c r="AF267" s="1">
        <v>8</v>
      </c>
      <c r="AG267" s="1">
        <v>8</v>
      </c>
      <c r="AH267" s="1">
        <v>5</v>
      </c>
      <c r="AI267" s="1">
        <v>7</v>
      </c>
      <c r="AJ267" s="1">
        <v>11</v>
      </c>
      <c r="AK267" s="1">
        <v>5</v>
      </c>
      <c r="AL267" s="1">
        <v>2</v>
      </c>
      <c r="AM267" s="1">
        <v>11</v>
      </c>
      <c r="AN267" s="1">
        <v>5</v>
      </c>
      <c r="AO267" s="3">
        <v>76</v>
      </c>
      <c r="AP267" s="1">
        <v>7</v>
      </c>
      <c r="AQ267" s="1">
        <v>6</v>
      </c>
      <c r="AR267" s="1">
        <v>2</v>
      </c>
      <c r="AS267" s="1">
        <v>7</v>
      </c>
      <c r="AT267" s="1">
        <v>4</v>
      </c>
      <c r="AU267" s="1">
        <v>4</v>
      </c>
      <c r="AV267" s="1">
        <v>8</v>
      </c>
      <c r="AW267" s="1">
        <v>8</v>
      </c>
      <c r="AX267" s="1">
        <v>9</v>
      </c>
      <c r="AY267" s="1">
        <v>6</v>
      </c>
      <c r="AZ267" s="1">
        <v>11</v>
      </c>
      <c r="BA267" s="1">
        <v>6</v>
      </c>
      <c r="BB267" s="3">
        <v>78</v>
      </c>
      <c r="BC267" s="1">
        <v>5</v>
      </c>
      <c r="BD267" s="1">
        <v>8</v>
      </c>
      <c r="BE267" s="1">
        <v>4</v>
      </c>
      <c r="BF267" s="1">
        <v>3</v>
      </c>
      <c r="BG267" s="1">
        <v>5</v>
      </c>
      <c r="BH267" s="1">
        <v>12</v>
      </c>
      <c r="BI267" s="1">
        <v>15</v>
      </c>
      <c r="BJ267" s="1">
        <v>23</v>
      </c>
      <c r="BK267" s="1">
        <v>12</v>
      </c>
      <c r="BL267" s="1">
        <v>7</v>
      </c>
      <c r="BM267" s="1">
        <v>7</v>
      </c>
      <c r="BN267" s="1">
        <v>18</v>
      </c>
      <c r="BO267" s="3">
        <v>119</v>
      </c>
      <c r="BP267" s="3">
        <f t="shared" si="5"/>
        <v>305</v>
      </c>
    </row>
    <row r="268" spans="1:68" x14ac:dyDescent="0.2">
      <c r="A268" s="3">
        <v>218</v>
      </c>
      <c r="B268" t="s">
        <v>275</v>
      </c>
      <c r="C268" s="1">
        <v>0</v>
      </c>
      <c r="D268" s="1">
        <v>0</v>
      </c>
      <c r="E268" s="1">
        <v>0</v>
      </c>
      <c r="F268" s="1">
        <v>0</v>
      </c>
      <c r="G268" s="1">
        <v>0</v>
      </c>
      <c r="H268" s="1">
        <v>0</v>
      </c>
      <c r="I268" s="1">
        <v>0</v>
      </c>
      <c r="J268" s="1">
        <v>0</v>
      </c>
      <c r="K268" s="1">
        <v>0</v>
      </c>
      <c r="L268" s="1">
        <v>0</v>
      </c>
      <c r="M268" s="1">
        <v>0</v>
      </c>
      <c r="N268" s="1">
        <v>1</v>
      </c>
      <c r="O268" s="3">
        <v>1</v>
      </c>
      <c r="P268" s="1">
        <v>2</v>
      </c>
      <c r="Q268" s="1">
        <v>2</v>
      </c>
      <c r="R268" s="1">
        <v>3</v>
      </c>
      <c r="S268" s="1">
        <v>0</v>
      </c>
      <c r="T268" s="1">
        <v>2</v>
      </c>
      <c r="U268" s="1">
        <v>0</v>
      </c>
      <c r="V268" s="1">
        <v>1</v>
      </c>
      <c r="W268" s="1">
        <v>2</v>
      </c>
      <c r="X268" s="1">
        <v>5</v>
      </c>
      <c r="Y268" s="1">
        <v>2</v>
      </c>
      <c r="Z268" s="1">
        <v>3</v>
      </c>
      <c r="AA268" s="1">
        <v>1</v>
      </c>
      <c r="AB268" s="3">
        <v>23</v>
      </c>
      <c r="AC268" s="1">
        <v>0</v>
      </c>
      <c r="AD268" s="1">
        <v>1</v>
      </c>
      <c r="AE268" s="1">
        <v>34</v>
      </c>
      <c r="AF268" s="1">
        <v>0</v>
      </c>
      <c r="AG268" s="1">
        <v>0</v>
      </c>
      <c r="AH268" s="1">
        <v>5</v>
      </c>
      <c r="AI268" s="1">
        <v>9</v>
      </c>
      <c r="AJ268" s="1">
        <v>6</v>
      </c>
      <c r="AK268" s="1">
        <v>3</v>
      </c>
      <c r="AL268" s="1">
        <v>2</v>
      </c>
      <c r="AM268" s="1">
        <v>3</v>
      </c>
      <c r="AN268" s="1">
        <v>2</v>
      </c>
      <c r="AO268" s="3">
        <v>65</v>
      </c>
      <c r="AP268" s="1">
        <v>2</v>
      </c>
      <c r="AQ268" s="1">
        <v>0</v>
      </c>
      <c r="AR268" s="1">
        <v>3</v>
      </c>
      <c r="AS268" s="1">
        <v>5</v>
      </c>
      <c r="AT268" s="1">
        <v>2</v>
      </c>
      <c r="AU268" s="1">
        <v>1</v>
      </c>
      <c r="AV268" s="1">
        <v>3</v>
      </c>
      <c r="AW268" s="1">
        <v>5</v>
      </c>
      <c r="AX268" s="1">
        <v>4</v>
      </c>
      <c r="AY268" s="1">
        <v>5</v>
      </c>
      <c r="AZ268" s="1">
        <v>14</v>
      </c>
      <c r="BA268" s="1">
        <v>4</v>
      </c>
      <c r="BB268" s="3">
        <v>48</v>
      </c>
      <c r="BC268" s="1">
        <v>5</v>
      </c>
      <c r="BD268" s="1">
        <v>0</v>
      </c>
      <c r="BE268" s="1">
        <v>5</v>
      </c>
      <c r="BF268" s="1">
        <v>2</v>
      </c>
      <c r="BG268" s="1">
        <v>5</v>
      </c>
      <c r="BH268" s="1">
        <v>1</v>
      </c>
      <c r="BI268" s="1">
        <v>4</v>
      </c>
      <c r="BJ268" s="1">
        <v>8</v>
      </c>
      <c r="BK268" s="1">
        <v>8</v>
      </c>
      <c r="BL268" s="1">
        <v>7</v>
      </c>
      <c r="BM268" s="1">
        <v>7</v>
      </c>
      <c r="BN268" s="1">
        <v>14</v>
      </c>
      <c r="BO268" s="3">
        <v>66</v>
      </c>
      <c r="BP268" s="3">
        <f t="shared" si="5"/>
        <v>203</v>
      </c>
    </row>
    <row r="269" spans="1:68" x14ac:dyDescent="0.2">
      <c r="A269" s="3">
        <v>219</v>
      </c>
      <c r="B269" t="s">
        <v>276</v>
      </c>
      <c r="C269" s="1">
        <v>1</v>
      </c>
      <c r="D269" s="1">
        <v>1</v>
      </c>
      <c r="E269" s="1">
        <v>4</v>
      </c>
      <c r="F269" s="1">
        <v>0</v>
      </c>
      <c r="G269" s="1">
        <v>1</v>
      </c>
      <c r="H269" s="1">
        <v>2</v>
      </c>
      <c r="I269" s="1">
        <v>0</v>
      </c>
      <c r="J269" s="1">
        <v>0</v>
      </c>
      <c r="K269" s="1">
        <v>0</v>
      </c>
      <c r="L269" s="1">
        <v>1</v>
      </c>
      <c r="M269" s="1">
        <v>3</v>
      </c>
      <c r="N269" s="1">
        <v>0</v>
      </c>
      <c r="O269" s="3">
        <v>13</v>
      </c>
      <c r="P269" s="1">
        <v>1</v>
      </c>
      <c r="Q269" s="1">
        <v>0</v>
      </c>
      <c r="R269" s="1">
        <v>1</v>
      </c>
      <c r="S269" s="1">
        <v>3</v>
      </c>
      <c r="T269" s="1">
        <v>10</v>
      </c>
      <c r="U269" s="1">
        <v>1</v>
      </c>
      <c r="V269" s="1">
        <v>1</v>
      </c>
      <c r="W269" s="1">
        <v>4</v>
      </c>
      <c r="X269" s="1">
        <v>1</v>
      </c>
      <c r="Y269" s="1">
        <v>6</v>
      </c>
      <c r="Z269" s="1">
        <v>7</v>
      </c>
      <c r="AA269" s="1">
        <v>9</v>
      </c>
      <c r="AB269" s="3">
        <v>44</v>
      </c>
      <c r="AC269" s="1">
        <v>1</v>
      </c>
      <c r="AD269" s="1">
        <v>4</v>
      </c>
      <c r="AE269" s="1">
        <v>2</v>
      </c>
      <c r="AF269" s="1">
        <v>5</v>
      </c>
      <c r="AG269" s="1">
        <v>10</v>
      </c>
      <c r="AH269" s="1">
        <v>8</v>
      </c>
      <c r="AI269" s="1">
        <v>13</v>
      </c>
      <c r="AJ269" s="1">
        <v>23</v>
      </c>
      <c r="AK269" s="1">
        <v>12</v>
      </c>
      <c r="AL269" s="1">
        <v>11</v>
      </c>
      <c r="AM269" s="1">
        <v>8</v>
      </c>
      <c r="AN269" s="1">
        <v>6</v>
      </c>
      <c r="AO269" s="3">
        <v>103</v>
      </c>
      <c r="AP269" s="1">
        <v>8</v>
      </c>
      <c r="AQ269" s="1">
        <v>6</v>
      </c>
      <c r="AR269" s="1">
        <v>2</v>
      </c>
      <c r="AS269" s="1">
        <v>4</v>
      </c>
      <c r="AT269" s="1">
        <v>14</v>
      </c>
      <c r="AU269" s="1">
        <v>4</v>
      </c>
      <c r="AV269" s="1">
        <v>16</v>
      </c>
      <c r="AW269" s="1">
        <v>7</v>
      </c>
      <c r="AX269" s="1">
        <v>15</v>
      </c>
      <c r="AY269" s="1">
        <v>3</v>
      </c>
      <c r="AZ269" s="1">
        <v>5</v>
      </c>
      <c r="BA269" s="1">
        <v>6</v>
      </c>
      <c r="BB269" s="3">
        <v>90</v>
      </c>
      <c r="BC269" s="1">
        <v>3</v>
      </c>
      <c r="BD269" s="1">
        <v>8</v>
      </c>
      <c r="BE269" s="1">
        <v>6</v>
      </c>
      <c r="BF269" s="1">
        <v>7</v>
      </c>
      <c r="BG269" s="1">
        <v>10</v>
      </c>
      <c r="BH269" s="1">
        <v>15</v>
      </c>
      <c r="BI269" s="1">
        <v>7</v>
      </c>
      <c r="BJ269" s="1">
        <v>14</v>
      </c>
      <c r="BK269" s="1">
        <v>6</v>
      </c>
      <c r="BL269" s="1">
        <v>6</v>
      </c>
      <c r="BM269" s="1">
        <v>19</v>
      </c>
      <c r="BN269" s="1">
        <v>10</v>
      </c>
      <c r="BO269" s="3">
        <v>111</v>
      </c>
      <c r="BP269" s="3">
        <f t="shared" si="5"/>
        <v>361</v>
      </c>
    </row>
    <row r="270" spans="1:68" x14ac:dyDescent="0.2">
      <c r="A270" s="3">
        <v>220</v>
      </c>
      <c r="B270" t="s">
        <v>277</v>
      </c>
      <c r="C270" s="1">
        <v>1</v>
      </c>
      <c r="D270" s="1">
        <v>0</v>
      </c>
      <c r="E270" s="1">
        <v>1</v>
      </c>
      <c r="F270" s="1">
        <v>0</v>
      </c>
      <c r="G270" s="1">
        <v>0</v>
      </c>
      <c r="H270" s="1">
        <v>2</v>
      </c>
      <c r="I270" s="1">
        <v>0</v>
      </c>
      <c r="J270" s="1">
        <v>5</v>
      </c>
      <c r="K270" s="1">
        <v>2</v>
      </c>
      <c r="L270" s="1">
        <v>1</v>
      </c>
      <c r="M270" s="1">
        <v>1</v>
      </c>
      <c r="N270" s="1">
        <v>0</v>
      </c>
      <c r="O270" s="3">
        <v>13</v>
      </c>
      <c r="P270" s="1">
        <v>2</v>
      </c>
      <c r="Q270" s="1">
        <v>2</v>
      </c>
      <c r="R270" s="1">
        <v>3</v>
      </c>
      <c r="S270" s="1">
        <v>1</v>
      </c>
      <c r="T270" s="1">
        <v>15</v>
      </c>
      <c r="U270" s="1">
        <v>3</v>
      </c>
      <c r="V270" s="1">
        <v>1</v>
      </c>
      <c r="W270" s="1">
        <v>2</v>
      </c>
      <c r="X270" s="1">
        <v>6</v>
      </c>
      <c r="Y270" s="1">
        <v>3</v>
      </c>
      <c r="Z270" s="1">
        <v>1</v>
      </c>
      <c r="AA270" s="1">
        <v>40</v>
      </c>
      <c r="AB270" s="3">
        <v>79</v>
      </c>
      <c r="AC270" s="1">
        <v>3</v>
      </c>
      <c r="AD270" s="1">
        <v>3</v>
      </c>
      <c r="AE270" s="1">
        <v>5</v>
      </c>
      <c r="AF270" s="1">
        <v>9</v>
      </c>
      <c r="AG270" s="1">
        <v>2</v>
      </c>
      <c r="AH270" s="1">
        <v>6</v>
      </c>
      <c r="AI270" s="1">
        <v>7</v>
      </c>
      <c r="AJ270" s="1">
        <v>4</v>
      </c>
      <c r="AK270" s="1">
        <v>7</v>
      </c>
      <c r="AL270" s="1">
        <v>7</v>
      </c>
      <c r="AM270" s="1">
        <v>7</v>
      </c>
      <c r="AN270" s="1">
        <v>3</v>
      </c>
      <c r="AO270" s="3">
        <v>63</v>
      </c>
      <c r="AP270" s="1">
        <v>7</v>
      </c>
      <c r="AQ270" s="1">
        <v>3</v>
      </c>
      <c r="AR270" s="1">
        <v>4</v>
      </c>
      <c r="AS270" s="1">
        <v>8</v>
      </c>
      <c r="AT270" s="1">
        <v>9</v>
      </c>
      <c r="AU270" s="1">
        <v>4</v>
      </c>
      <c r="AV270" s="1">
        <v>4</v>
      </c>
      <c r="AW270" s="1">
        <v>4</v>
      </c>
      <c r="AX270" s="1">
        <v>13</v>
      </c>
      <c r="AY270" s="1">
        <v>10</v>
      </c>
      <c r="AZ270" s="1">
        <v>14</v>
      </c>
      <c r="BA270" s="1">
        <v>2</v>
      </c>
      <c r="BB270" s="3">
        <v>82</v>
      </c>
      <c r="BC270" s="1">
        <v>3</v>
      </c>
      <c r="BD270" s="1">
        <v>7</v>
      </c>
      <c r="BE270" s="1">
        <v>1</v>
      </c>
      <c r="BF270" s="1">
        <v>8</v>
      </c>
      <c r="BG270" s="1">
        <v>5</v>
      </c>
      <c r="BH270" s="1">
        <v>9</v>
      </c>
      <c r="BI270" s="1">
        <v>2</v>
      </c>
      <c r="BJ270" s="1">
        <v>4</v>
      </c>
      <c r="BK270" s="1">
        <v>9</v>
      </c>
      <c r="BL270" s="1">
        <v>12</v>
      </c>
      <c r="BM270" s="1">
        <v>17</v>
      </c>
      <c r="BN270" s="1">
        <v>4</v>
      </c>
      <c r="BO270" s="3">
        <v>81</v>
      </c>
      <c r="BP270" s="3">
        <f t="shared" si="5"/>
        <v>318</v>
      </c>
    </row>
    <row r="271" spans="1:68" x14ac:dyDescent="0.2">
      <c r="A271" s="3">
        <v>221</v>
      </c>
      <c r="B271" t="s">
        <v>278</v>
      </c>
      <c r="C271" s="1">
        <v>0</v>
      </c>
      <c r="D271" s="1">
        <v>0</v>
      </c>
      <c r="E271" s="1">
        <v>0</v>
      </c>
      <c r="F271" s="1">
        <v>0</v>
      </c>
      <c r="G271" s="1">
        <v>0</v>
      </c>
      <c r="H271" s="1">
        <v>1</v>
      </c>
      <c r="I271" s="1">
        <v>1</v>
      </c>
      <c r="J271" s="1">
        <v>0</v>
      </c>
      <c r="K271" s="1">
        <v>0</v>
      </c>
      <c r="L271" s="1">
        <v>0</v>
      </c>
      <c r="M271" s="1">
        <v>0</v>
      </c>
      <c r="N271" s="1">
        <v>0</v>
      </c>
      <c r="O271" s="3">
        <v>2</v>
      </c>
      <c r="P271" s="1">
        <v>1</v>
      </c>
      <c r="Q271" s="1">
        <v>3</v>
      </c>
      <c r="R271" s="1">
        <v>1</v>
      </c>
      <c r="S271" s="1">
        <v>4</v>
      </c>
      <c r="T271" s="1">
        <v>5</v>
      </c>
      <c r="U271" s="1">
        <v>2</v>
      </c>
      <c r="V271" s="1">
        <v>5</v>
      </c>
      <c r="W271" s="1">
        <v>5</v>
      </c>
      <c r="X271" s="1">
        <v>3</v>
      </c>
      <c r="Y271" s="1">
        <v>6</v>
      </c>
      <c r="Z271" s="1">
        <v>3</v>
      </c>
      <c r="AA271" s="1">
        <v>8</v>
      </c>
      <c r="AB271" s="3">
        <v>46</v>
      </c>
      <c r="AC271" s="1">
        <v>1</v>
      </c>
      <c r="AD271" s="1">
        <v>4</v>
      </c>
      <c r="AE271" s="1">
        <v>1</v>
      </c>
      <c r="AF271" s="1">
        <v>9</v>
      </c>
      <c r="AG271" s="1">
        <v>7</v>
      </c>
      <c r="AH271" s="1">
        <v>4</v>
      </c>
      <c r="AI271" s="1">
        <v>9</v>
      </c>
      <c r="AJ271" s="1">
        <v>7</v>
      </c>
      <c r="AK271" s="1">
        <v>10</v>
      </c>
      <c r="AL271" s="1">
        <v>3</v>
      </c>
      <c r="AM271" s="1">
        <v>6</v>
      </c>
      <c r="AN271" s="1">
        <v>8</v>
      </c>
      <c r="AO271" s="3">
        <v>69</v>
      </c>
      <c r="AP271" s="1">
        <v>4</v>
      </c>
      <c r="AQ271" s="1">
        <v>6</v>
      </c>
      <c r="AR271" s="1">
        <v>4</v>
      </c>
      <c r="AS271" s="1">
        <v>3</v>
      </c>
      <c r="AT271" s="1">
        <v>2</v>
      </c>
      <c r="AU271" s="1">
        <v>3</v>
      </c>
      <c r="AV271" s="1">
        <v>5</v>
      </c>
      <c r="AW271" s="1">
        <v>5</v>
      </c>
      <c r="AX271" s="1">
        <v>6</v>
      </c>
      <c r="AY271" s="1">
        <v>5</v>
      </c>
      <c r="AZ271" s="1">
        <v>6</v>
      </c>
      <c r="BA271" s="1">
        <v>1</v>
      </c>
      <c r="BB271" s="3">
        <v>50</v>
      </c>
      <c r="BC271" s="1">
        <v>8</v>
      </c>
      <c r="BD271" s="1">
        <v>3</v>
      </c>
      <c r="BE271" s="1">
        <v>2</v>
      </c>
      <c r="BF271" s="1">
        <v>4</v>
      </c>
      <c r="BG271" s="1">
        <v>4</v>
      </c>
      <c r="BH271" s="1">
        <v>3</v>
      </c>
      <c r="BI271" s="1">
        <v>7</v>
      </c>
      <c r="BJ271" s="1">
        <v>3</v>
      </c>
      <c r="BK271" s="1">
        <v>5</v>
      </c>
      <c r="BL271" s="1">
        <v>6</v>
      </c>
      <c r="BM271" s="1">
        <v>0</v>
      </c>
      <c r="BN271" s="1">
        <v>4</v>
      </c>
      <c r="BO271" s="3">
        <v>49</v>
      </c>
      <c r="BP271" s="3">
        <f t="shared" si="5"/>
        <v>216</v>
      </c>
    </row>
    <row r="272" spans="1:68" x14ac:dyDescent="0.2">
      <c r="A272" s="3">
        <v>222</v>
      </c>
      <c r="B272" t="s">
        <v>279</v>
      </c>
      <c r="C272" s="1">
        <v>0</v>
      </c>
      <c r="D272" s="1">
        <v>0</v>
      </c>
      <c r="E272" s="1">
        <v>0</v>
      </c>
      <c r="F272" s="1">
        <v>0</v>
      </c>
      <c r="G272" s="1">
        <v>0</v>
      </c>
      <c r="H272" s="1">
        <v>0</v>
      </c>
      <c r="I272" s="1">
        <v>0</v>
      </c>
      <c r="J272" s="1">
        <v>0</v>
      </c>
      <c r="K272" s="1">
        <v>0</v>
      </c>
      <c r="L272" s="1">
        <v>0</v>
      </c>
      <c r="M272" s="1">
        <v>0</v>
      </c>
      <c r="N272" s="1">
        <v>0</v>
      </c>
      <c r="O272" s="3">
        <v>0</v>
      </c>
      <c r="P272" s="1">
        <v>1</v>
      </c>
      <c r="Q272" s="1">
        <v>0</v>
      </c>
      <c r="R272" s="1">
        <v>0</v>
      </c>
      <c r="S272" s="1">
        <v>0</v>
      </c>
      <c r="T272" s="1">
        <v>3</v>
      </c>
      <c r="U272" s="1">
        <v>0</v>
      </c>
      <c r="V272" s="1">
        <v>2</v>
      </c>
      <c r="W272" s="1">
        <v>0</v>
      </c>
      <c r="X272" s="1">
        <v>0</v>
      </c>
      <c r="Y272" s="1">
        <v>1</v>
      </c>
      <c r="Z272" s="1">
        <v>3</v>
      </c>
      <c r="AA272" s="1">
        <v>1</v>
      </c>
      <c r="AB272" s="3">
        <v>11</v>
      </c>
      <c r="AC272" s="1">
        <v>0</v>
      </c>
      <c r="AD272" s="1">
        <v>4</v>
      </c>
      <c r="AE272" s="1">
        <v>2</v>
      </c>
      <c r="AF272" s="1">
        <v>1</v>
      </c>
      <c r="AG272" s="1">
        <v>0</v>
      </c>
      <c r="AH272" s="1">
        <v>3</v>
      </c>
      <c r="AI272" s="1">
        <v>0</v>
      </c>
      <c r="AJ272" s="1">
        <v>7</v>
      </c>
      <c r="AK272" s="1">
        <v>3</v>
      </c>
      <c r="AL272" s="1">
        <v>1</v>
      </c>
      <c r="AM272" s="1">
        <v>2</v>
      </c>
      <c r="AN272" s="1">
        <v>0</v>
      </c>
      <c r="AO272" s="3">
        <v>23</v>
      </c>
      <c r="AP272" s="1">
        <v>1</v>
      </c>
      <c r="AQ272" s="1">
        <v>2</v>
      </c>
      <c r="AR272" s="1">
        <v>3</v>
      </c>
      <c r="AS272" s="1">
        <v>2</v>
      </c>
      <c r="AT272" s="1">
        <v>4</v>
      </c>
      <c r="AU272" s="1">
        <v>1</v>
      </c>
      <c r="AV272" s="1">
        <v>1</v>
      </c>
      <c r="AW272" s="1">
        <v>2</v>
      </c>
      <c r="AX272" s="1">
        <v>11</v>
      </c>
      <c r="AY272" s="1">
        <v>1</v>
      </c>
      <c r="AZ272" s="1">
        <v>13</v>
      </c>
      <c r="BA272" s="1">
        <v>10</v>
      </c>
      <c r="BB272" s="3">
        <v>51</v>
      </c>
      <c r="BC272" s="1">
        <v>2</v>
      </c>
      <c r="BD272" s="1">
        <v>0</v>
      </c>
      <c r="BE272" s="1">
        <v>2</v>
      </c>
      <c r="BF272" s="1">
        <v>4</v>
      </c>
      <c r="BG272" s="1">
        <v>3</v>
      </c>
      <c r="BH272" s="1">
        <v>21</v>
      </c>
      <c r="BI272" s="1">
        <v>5</v>
      </c>
      <c r="BJ272" s="1">
        <v>3</v>
      </c>
      <c r="BK272" s="1">
        <v>5</v>
      </c>
      <c r="BL272" s="1">
        <v>8</v>
      </c>
      <c r="BM272" s="1">
        <v>5</v>
      </c>
      <c r="BN272" s="1">
        <v>2</v>
      </c>
      <c r="BO272" s="3">
        <v>60</v>
      </c>
      <c r="BP272" s="3">
        <f t="shared" si="5"/>
        <v>145</v>
      </c>
    </row>
    <row r="273" spans="1:69" x14ac:dyDescent="0.2">
      <c r="A273" s="3">
        <v>223</v>
      </c>
      <c r="B273" t="s">
        <v>280</v>
      </c>
      <c r="C273" s="1">
        <v>0</v>
      </c>
      <c r="D273" s="1">
        <v>0</v>
      </c>
      <c r="E273" s="1">
        <v>0</v>
      </c>
      <c r="F273" s="1">
        <v>0</v>
      </c>
      <c r="G273" s="1">
        <v>0</v>
      </c>
      <c r="H273" s="1">
        <v>0</v>
      </c>
      <c r="I273" s="1">
        <v>0</v>
      </c>
      <c r="J273" s="1">
        <v>0</v>
      </c>
      <c r="K273" s="1">
        <v>0</v>
      </c>
      <c r="L273" s="1">
        <v>0</v>
      </c>
      <c r="M273" s="1">
        <v>0</v>
      </c>
      <c r="N273" s="1">
        <v>0</v>
      </c>
      <c r="O273" s="3">
        <v>0</v>
      </c>
      <c r="P273" s="1">
        <v>0</v>
      </c>
      <c r="Q273" s="1">
        <v>1</v>
      </c>
      <c r="R273" s="1">
        <v>8</v>
      </c>
      <c r="S273" s="1">
        <v>1</v>
      </c>
      <c r="T273" s="1">
        <v>9</v>
      </c>
      <c r="U273" s="1">
        <v>2</v>
      </c>
      <c r="V273" s="1">
        <v>3</v>
      </c>
      <c r="W273" s="1">
        <v>9</v>
      </c>
      <c r="X273" s="1">
        <v>0</v>
      </c>
      <c r="Y273" s="1">
        <v>1</v>
      </c>
      <c r="Z273" s="1">
        <v>9</v>
      </c>
      <c r="AA273" s="1">
        <v>0</v>
      </c>
      <c r="AB273" s="3">
        <v>43</v>
      </c>
      <c r="AC273" s="1">
        <v>1</v>
      </c>
      <c r="AD273" s="1">
        <v>1</v>
      </c>
      <c r="AE273" s="1">
        <v>3</v>
      </c>
      <c r="AF273" s="1">
        <v>2</v>
      </c>
      <c r="AG273" s="1">
        <v>1</v>
      </c>
      <c r="AH273" s="1">
        <v>2</v>
      </c>
      <c r="AI273" s="1">
        <v>3</v>
      </c>
      <c r="AJ273" s="1">
        <v>36</v>
      </c>
      <c r="AK273" s="1">
        <v>5</v>
      </c>
      <c r="AL273" s="1">
        <v>1</v>
      </c>
      <c r="AM273" s="1">
        <v>2</v>
      </c>
      <c r="AN273" s="1">
        <v>1</v>
      </c>
      <c r="AO273" s="3">
        <v>58</v>
      </c>
      <c r="AP273" s="1">
        <v>2</v>
      </c>
      <c r="AQ273" s="1">
        <v>0</v>
      </c>
      <c r="AR273" s="1">
        <v>9</v>
      </c>
      <c r="AS273" s="1">
        <v>5</v>
      </c>
      <c r="AT273" s="1">
        <v>7</v>
      </c>
      <c r="AU273" s="1">
        <v>3</v>
      </c>
      <c r="AV273" s="1">
        <v>4</v>
      </c>
      <c r="AW273" s="1">
        <v>7</v>
      </c>
      <c r="AX273" s="1">
        <v>3</v>
      </c>
      <c r="AY273" s="1">
        <v>5</v>
      </c>
      <c r="AZ273" s="1">
        <v>4</v>
      </c>
      <c r="BA273" s="1">
        <v>3</v>
      </c>
      <c r="BB273" s="3">
        <v>52</v>
      </c>
      <c r="BC273" s="1">
        <v>1</v>
      </c>
      <c r="BD273" s="1">
        <v>3</v>
      </c>
      <c r="BE273" s="1">
        <v>7</v>
      </c>
      <c r="BF273" s="1">
        <v>6</v>
      </c>
      <c r="BG273" s="1">
        <v>2</v>
      </c>
      <c r="BH273" s="1">
        <v>1</v>
      </c>
      <c r="BI273" s="1">
        <v>8</v>
      </c>
      <c r="BJ273" s="1">
        <v>3</v>
      </c>
      <c r="BK273" s="1">
        <v>4</v>
      </c>
      <c r="BL273" s="1">
        <v>3</v>
      </c>
      <c r="BM273" s="1">
        <v>5</v>
      </c>
      <c r="BN273" s="1">
        <v>0</v>
      </c>
      <c r="BO273" s="3">
        <v>43</v>
      </c>
      <c r="BP273" s="3">
        <f t="shared" si="5"/>
        <v>196</v>
      </c>
    </row>
    <row r="274" spans="1:69" x14ac:dyDescent="0.2">
      <c r="A274" s="3">
        <v>224</v>
      </c>
      <c r="B274" t="s">
        <v>281</v>
      </c>
      <c r="C274" s="1">
        <v>0</v>
      </c>
      <c r="D274" s="1">
        <v>0</v>
      </c>
      <c r="E274" s="1">
        <v>0</v>
      </c>
      <c r="F274" s="1">
        <v>0</v>
      </c>
      <c r="G274" s="1">
        <v>0</v>
      </c>
      <c r="H274" s="1">
        <v>0</v>
      </c>
      <c r="I274" s="1">
        <v>0</v>
      </c>
      <c r="J274" s="1">
        <v>0</v>
      </c>
      <c r="K274" s="1">
        <v>0</v>
      </c>
      <c r="L274" s="1">
        <v>0</v>
      </c>
      <c r="M274" s="1">
        <v>0</v>
      </c>
      <c r="N274" s="1">
        <v>0</v>
      </c>
      <c r="O274" s="3">
        <v>0</v>
      </c>
      <c r="P274" s="1">
        <v>0</v>
      </c>
      <c r="Q274" s="1">
        <v>0</v>
      </c>
      <c r="R274" s="1">
        <v>5</v>
      </c>
      <c r="S274" s="1">
        <v>0</v>
      </c>
      <c r="T274" s="1">
        <v>4</v>
      </c>
      <c r="U274" s="1">
        <v>1</v>
      </c>
      <c r="V274" s="1">
        <v>0</v>
      </c>
      <c r="W274" s="1">
        <v>4</v>
      </c>
      <c r="X274" s="1">
        <v>2</v>
      </c>
      <c r="Y274" s="1">
        <v>1</v>
      </c>
      <c r="Z274" s="1">
        <v>2</v>
      </c>
      <c r="AA274" s="1">
        <v>0</v>
      </c>
      <c r="AB274" s="3">
        <v>19</v>
      </c>
      <c r="AC274" s="1">
        <v>3</v>
      </c>
      <c r="AD274" s="1">
        <v>0</v>
      </c>
      <c r="AE274" s="1">
        <v>2</v>
      </c>
      <c r="AF274" s="1">
        <v>4</v>
      </c>
      <c r="AG274" s="1">
        <v>2</v>
      </c>
      <c r="AH274" s="1">
        <v>4</v>
      </c>
      <c r="AI274" s="1">
        <v>1</v>
      </c>
      <c r="AJ274" s="1">
        <v>6</v>
      </c>
      <c r="AK274" s="1">
        <v>1</v>
      </c>
      <c r="AL274" s="1">
        <v>3</v>
      </c>
      <c r="AM274" s="1">
        <v>3</v>
      </c>
      <c r="AN274" s="1">
        <v>1</v>
      </c>
      <c r="AO274" s="3">
        <v>30</v>
      </c>
      <c r="AP274" s="1">
        <v>0</v>
      </c>
      <c r="AQ274" s="1">
        <v>3</v>
      </c>
      <c r="AR274" s="1">
        <v>0</v>
      </c>
      <c r="AS274" s="1">
        <v>1</v>
      </c>
      <c r="AT274" s="1">
        <v>8</v>
      </c>
      <c r="AU274" s="1">
        <v>3</v>
      </c>
      <c r="AV274" s="1">
        <v>1</v>
      </c>
      <c r="AW274" s="1">
        <v>8</v>
      </c>
      <c r="AX274" s="1">
        <v>4</v>
      </c>
      <c r="AY274" s="1">
        <v>3</v>
      </c>
      <c r="AZ274" s="1">
        <v>7</v>
      </c>
      <c r="BA274" s="1">
        <v>5</v>
      </c>
      <c r="BB274" s="3">
        <v>43</v>
      </c>
      <c r="BC274" s="1">
        <v>3</v>
      </c>
      <c r="BD274" s="1">
        <v>4</v>
      </c>
      <c r="BE274" s="1">
        <v>0</v>
      </c>
      <c r="BF274" s="1">
        <v>5</v>
      </c>
      <c r="BG274" s="1">
        <v>3</v>
      </c>
      <c r="BH274" s="1">
        <v>8</v>
      </c>
      <c r="BI274" s="1">
        <v>6</v>
      </c>
      <c r="BJ274" s="1">
        <v>3</v>
      </c>
      <c r="BK274" s="1">
        <v>4</v>
      </c>
      <c r="BL274" s="1">
        <v>4</v>
      </c>
      <c r="BM274" s="1">
        <v>8</v>
      </c>
      <c r="BN274" s="1">
        <v>5</v>
      </c>
      <c r="BO274" s="3">
        <v>53</v>
      </c>
      <c r="BP274" s="3">
        <f t="shared" si="5"/>
        <v>145</v>
      </c>
    </row>
    <row r="275" spans="1:69" x14ac:dyDescent="0.2">
      <c r="A275" s="3">
        <v>225</v>
      </c>
      <c r="B275" t="s">
        <v>282</v>
      </c>
      <c r="C275" s="1">
        <v>0</v>
      </c>
      <c r="D275" s="1">
        <v>1</v>
      </c>
      <c r="E275" s="1">
        <v>0</v>
      </c>
      <c r="F275" s="1">
        <v>0</v>
      </c>
      <c r="G275" s="1">
        <v>0</v>
      </c>
      <c r="H275" s="1">
        <v>3</v>
      </c>
      <c r="I275" s="1">
        <v>3</v>
      </c>
      <c r="J275" s="1">
        <v>0</v>
      </c>
      <c r="K275" s="1">
        <v>0</v>
      </c>
      <c r="L275" s="1">
        <v>0</v>
      </c>
      <c r="M275" s="1">
        <v>1</v>
      </c>
      <c r="N275" s="1">
        <v>3</v>
      </c>
      <c r="O275" s="3">
        <v>11</v>
      </c>
      <c r="P275" s="1">
        <v>1</v>
      </c>
      <c r="Q275" s="1">
        <v>1</v>
      </c>
      <c r="R275" s="1">
        <v>0</v>
      </c>
      <c r="S275" s="1">
        <v>1</v>
      </c>
      <c r="T275" s="1">
        <v>4</v>
      </c>
      <c r="U275" s="1">
        <v>0</v>
      </c>
      <c r="V275" s="1">
        <v>2</v>
      </c>
      <c r="W275" s="1">
        <v>0</v>
      </c>
      <c r="X275" s="1">
        <v>5</v>
      </c>
      <c r="Y275" s="1">
        <v>6</v>
      </c>
      <c r="Z275" s="1">
        <v>4</v>
      </c>
      <c r="AA275" s="1">
        <v>8</v>
      </c>
      <c r="AB275" s="3">
        <v>32</v>
      </c>
      <c r="AC275" s="1">
        <v>6</v>
      </c>
      <c r="AD275" s="1">
        <v>9</v>
      </c>
      <c r="AE275" s="1">
        <v>2</v>
      </c>
      <c r="AF275" s="1">
        <v>4</v>
      </c>
      <c r="AG275" s="1">
        <v>8</v>
      </c>
      <c r="AH275" s="1">
        <v>10</v>
      </c>
      <c r="AI275" s="1">
        <v>2</v>
      </c>
      <c r="AJ275" s="1">
        <v>4</v>
      </c>
      <c r="AK275" s="1">
        <v>3</v>
      </c>
      <c r="AL275" s="1">
        <v>4</v>
      </c>
      <c r="AM275" s="1">
        <v>4</v>
      </c>
      <c r="AN275" s="1">
        <v>1</v>
      </c>
      <c r="AO275" s="3">
        <v>57</v>
      </c>
      <c r="AP275" s="1">
        <v>4</v>
      </c>
      <c r="AQ275" s="1">
        <v>0</v>
      </c>
      <c r="AR275" s="1">
        <v>1</v>
      </c>
      <c r="AS275" s="1">
        <v>3</v>
      </c>
      <c r="AT275" s="1">
        <v>1</v>
      </c>
      <c r="AU275" s="1">
        <v>5</v>
      </c>
      <c r="AV275" s="1">
        <v>3</v>
      </c>
      <c r="AW275" s="1">
        <v>4</v>
      </c>
      <c r="AX275" s="1">
        <v>4</v>
      </c>
      <c r="AY275" s="1">
        <v>7</v>
      </c>
      <c r="AZ275" s="1">
        <v>4</v>
      </c>
      <c r="BA275" s="1">
        <v>2</v>
      </c>
      <c r="BB275" s="3">
        <v>38</v>
      </c>
      <c r="BC275" s="1">
        <v>3</v>
      </c>
      <c r="BD275" s="1">
        <v>3</v>
      </c>
      <c r="BE275" s="1">
        <v>3</v>
      </c>
      <c r="BF275" s="1">
        <v>1</v>
      </c>
      <c r="BG275" s="1">
        <v>1</v>
      </c>
      <c r="BH275" s="1">
        <v>14</v>
      </c>
      <c r="BI275" s="1">
        <v>17</v>
      </c>
      <c r="BJ275" s="1">
        <v>5</v>
      </c>
      <c r="BK275" s="1">
        <v>5</v>
      </c>
      <c r="BL275" s="1">
        <v>5</v>
      </c>
      <c r="BM275" s="1">
        <v>5</v>
      </c>
      <c r="BN275" s="1">
        <v>12</v>
      </c>
      <c r="BO275" s="3">
        <v>74</v>
      </c>
      <c r="BP275" s="3">
        <f t="shared" si="5"/>
        <v>212</v>
      </c>
    </row>
    <row r="276" spans="1:69" x14ac:dyDescent="0.2">
      <c r="A276" s="3">
        <v>226</v>
      </c>
      <c r="B276" t="s">
        <v>283</v>
      </c>
      <c r="C276" s="1">
        <v>0</v>
      </c>
      <c r="D276" s="1">
        <v>0</v>
      </c>
      <c r="E276" s="1">
        <v>0</v>
      </c>
      <c r="F276" s="1">
        <v>0</v>
      </c>
      <c r="G276" s="1">
        <v>0</v>
      </c>
      <c r="H276" s="1">
        <v>0</v>
      </c>
      <c r="I276" s="1">
        <v>0</v>
      </c>
      <c r="J276" s="1">
        <v>0</v>
      </c>
      <c r="K276" s="1">
        <v>0</v>
      </c>
      <c r="L276" s="1">
        <v>0</v>
      </c>
      <c r="M276" s="1">
        <v>0</v>
      </c>
      <c r="N276" s="1">
        <v>0</v>
      </c>
      <c r="O276" s="3">
        <v>0</v>
      </c>
      <c r="P276" s="1">
        <v>0</v>
      </c>
      <c r="Q276" s="1">
        <v>0</v>
      </c>
      <c r="R276" s="1">
        <v>0</v>
      </c>
      <c r="S276" s="1">
        <v>0</v>
      </c>
      <c r="T276" s="1">
        <v>5</v>
      </c>
      <c r="U276" s="1">
        <v>0</v>
      </c>
      <c r="V276" s="1">
        <v>0</v>
      </c>
      <c r="W276" s="1">
        <v>0</v>
      </c>
      <c r="X276" s="1">
        <v>0</v>
      </c>
      <c r="Y276" s="1">
        <v>0</v>
      </c>
      <c r="Z276" s="1">
        <v>0</v>
      </c>
      <c r="AA276" s="1">
        <v>0</v>
      </c>
      <c r="AB276" s="3">
        <v>5</v>
      </c>
      <c r="AC276" s="1">
        <v>0</v>
      </c>
      <c r="AD276" s="1">
        <v>0</v>
      </c>
      <c r="AE276" s="1">
        <v>0</v>
      </c>
      <c r="AF276" s="1">
        <v>0</v>
      </c>
      <c r="AG276" s="1">
        <v>0</v>
      </c>
      <c r="AH276" s="1">
        <v>0</v>
      </c>
      <c r="AI276" s="1">
        <v>1</v>
      </c>
      <c r="AJ276" s="1">
        <v>2</v>
      </c>
      <c r="AK276" s="1">
        <v>0</v>
      </c>
      <c r="AL276" s="1">
        <v>0</v>
      </c>
      <c r="AM276" s="1">
        <v>0</v>
      </c>
      <c r="AN276" s="1">
        <v>0</v>
      </c>
      <c r="AO276" s="3">
        <v>3</v>
      </c>
      <c r="AP276" s="1">
        <v>1</v>
      </c>
      <c r="AQ276" s="1">
        <v>0</v>
      </c>
      <c r="AR276" s="1">
        <v>0</v>
      </c>
      <c r="AS276" s="1">
        <v>0</v>
      </c>
      <c r="AT276" s="1">
        <v>0</v>
      </c>
      <c r="AU276" s="1">
        <v>0</v>
      </c>
      <c r="AV276" s="1">
        <v>0</v>
      </c>
      <c r="AW276" s="1">
        <v>0</v>
      </c>
      <c r="AX276" s="1">
        <v>3</v>
      </c>
      <c r="AY276" s="1">
        <v>1</v>
      </c>
      <c r="AZ276" s="1">
        <v>1</v>
      </c>
      <c r="BA276" s="1">
        <v>0</v>
      </c>
      <c r="BB276" s="3">
        <v>6</v>
      </c>
      <c r="BC276" s="1">
        <v>1</v>
      </c>
      <c r="BD276" s="1">
        <v>1</v>
      </c>
      <c r="BE276" s="1">
        <v>2</v>
      </c>
      <c r="BF276" s="1">
        <v>0</v>
      </c>
      <c r="BG276" s="1">
        <v>0</v>
      </c>
      <c r="BH276" s="1">
        <v>0</v>
      </c>
      <c r="BI276" s="1">
        <v>6</v>
      </c>
      <c r="BJ276" s="1">
        <v>3</v>
      </c>
      <c r="BK276" s="1">
        <v>2</v>
      </c>
      <c r="BL276" s="1">
        <v>4</v>
      </c>
      <c r="BM276" s="1">
        <v>2</v>
      </c>
      <c r="BN276" s="1">
        <v>2</v>
      </c>
      <c r="BO276" s="3">
        <v>23</v>
      </c>
      <c r="BP276" s="3">
        <f t="shared" si="5"/>
        <v>37</v>
      </c>
    </row>
    <row r="277" spans="1:69" x14ac:dyDescent="0.2">
      <c r="A277" s="3">
        <v>227</v>
      </c>
      <c r="B277" t="s">
        <v>284</v>
      </c>
      <c r="C277" s="1">
        <v>0</v>
      </c>
      <c r="D277" s="1">
        <v>0</v>
      </c>
      <c r="E277" s="1">
        <v>0</v>
      </c>
      <c r="F277" s="1">
        <v>1</v>
      </c>
      <c r="G277" s="1">
        <v>0</v>
      </c>
      <c r="H277" s="1">
        <v>0</v>
      </c>
      <c r="I277" s="1">
        <v>0</v>
      </c>
      <c r="J277" s="1">
        <v>0</v>
      </c>
      <c r="K277" s="1">
        <v>0</v>
      </c>
      <c r="L277" s="1">
        <v>1</v>
      </c>
      <c r="M277" s="1">
        <v>0</v>
      </c>
      <c r="N277" s="1">
        <v>0</v>
      </c>
      <c r="O277" s="3">
        <v>2</v>
      </c>
      <c r="P277" s="1">
        <v>0</v>
      </c>
      <c r="Q277" s="1">
        <v>0</v>
      </c>
      <c r="R277" s="1">
        <v>4</v>
      </c>
      <c r="S277" s="1">
        <v>0</v>
      </c>
      <c r="T277" s="1">
        <v>1</v>
      </c>
      <c r="U277" s="1">
        <v>0</v>
      </c>
      <c r="V277" s="1">
        <v>1</v>
      </c>
      <c r="W277" s="1">
        <v>0</v>
      </c>
      <c r="X277" s="1">
        <v>2</v>
      </c>
      <c r="Y277" s="1">
        <v>0</v>
      </c>
      <c r="Z277" s="1">
        <v>1</v>
      </c>
      <c r="AA277" s="1">
        <v>1</v>
      </c>
      <c r="AB277" s="3">
        <v>10</v>
      </c>
      <c r="AC277" s="1">
        <v>0</v>
      </c>
      <c r="AD277" s="1">
        <v>2</v>
      </c>
      <c r="AE277" s="1">
        <v>0</v>
      </c>
      <c r="AF277" s="1">
        <v>0</v>
      </c>
      <c r="AG277" s="1">
        <v>1</v>
      </c>
      <c r="AH277" s="1">
        <v>0</v>
      </c>
      <c r="AI277" s="1">
        <v>0</v>
      </c>
      <c r="AJ277" s="1">
        <v>6</v>
      </c>
      <c r="AK277" s="1">
        <v>4</v>
      </c>
      <c r="AL277" s="1">
        <v>1</v>
      </c>
      <c r="AM277" s="1">
        <v>0</v>
      </c>
      <c r="AN277" s="1">
        <v>0</v>
      </c>
      <c r="AO277" s="3">
        <v>14</v>
      </c>
      <c r="AP277" s="1">
        <v>0</v>
      </c>
      <c r="AQ277" s="1">
        <v>0</v>
      </c>
      <c r="AR277" s="1">
        <v>0</v>
      </c>
      <c r="AS277" s="1">
        <v>0</v>
      </c>
      <c r="AT277" s="1">
        <v>0</v>
      </c>
      <c r="AU277" s="1">
        <v>1</v>
      </c>
      <c r="AV277" s="1">
        <v>2</v>
      </c>
      <c r="AW277" s="1">
        <v>0</v>
      </c>
      <c r="AX277" s="1">
        <v>0</v>
      </c>
      <c r="AY277" s="1">
        <v>1</v>
      </c>
      <c r="AZ277" s="1">
        <v>3</v>
      </c>
      <c r="BA277" s="1">
        <v>0</v>
      </c>
      <c r="BB277" s="3">
        <v>7</v>
      </c>
      <c r="BC277" s="1">
        <v>1</v>
      </c>
      <c r="BD277" s="1">
        <v>2</v>
      </c>
      <c r="BE277" s="1">
        <v>0</v>
      </c>
      <c r="BF277" s="1">
        <v>0</v>
      </c>
      <c r="BG277" s="1">
        <v>0</v>
      </c>
      <c r="BH277" s="1">
        <v>4</v>
      </c>
      <c r="BI277" s="1">
        <v>1</v>
      </c>
      <c r="BJ277" s="1">
        <v>4</v>
      </c>
      <c r="BK277" s="1">
        <v>1</v>
      </c>
      <c r="BL277" s="1">
        <v>1</v>
      </c>
      <c r="BM277" s="1">
        <v>3</v>
      </c>
      <c r="BN277" s="1">
        <v>0</v>
      </c>
      <c r="BO277" s="3">
        <v>17</v>
      </c>
      <c r="BP277" s="3">
        <f t="shared" si="5"/>
        <v>50</v>
      </c>
    </row>
    <row r="278" spans="1:69" x14ac:dyDescent="0.2">
      <c r="A278" s="3">
        <v>228</v>
      </c>
      <c r="B278" t="s">
        <v>285</v>
      </c>
      <c r="C278" s="1">
        <v>0</v>
      </c>
      <c r="D278" s="1">
        <v>3</v>
      </c>
      <c r="E278" s="1">
        <v>7</v>
      </c>
      <c r="F278" s="1">
        <v>9</v>
      </c>
      <c r="G278" s="1">
        <v>9</v>
      </c>
      <c r="H278" s="1">
        <v>5</v>
      </c>
      <c r="I278" s="1">
        <v>7</v>
      </c>
      <c r="J278" s="1">
        <v>4</v>
      </c>
      <c r="K278" s="1">
        <v>2</v>
      </c>
      <c r="L278" s="1">
        <v>0</v>
      </c>
      <c r="M278" s="1">
        <v>2</v>
      </c>
      <c r="N278" s="1">
        <v>0</v>
      </c>
      <c r="O278" s="3">
        <v>48</v>
      </c>
      <c r="P278" s="1">
        <v>2</v>
      </c>
      <c r="Q278" s="1">
        <v>0</v>
      </c>
      <c r="R278" s="1">
        <v>13</v>
      </c>
      <c r="S278" s="1">
        <v>1</v>
      </c>
      <c r="T278" s="1">
        <v>10</v>
      </c>
      <c r="U278" s="1">
        <v>3</v>
      </c>
      <c r="V278" s="1">
        <v>1</v>
      </c>
      <c r="W278" s="1">
        <v>3</v>
      </c>
      <c r="X278" s="1">
        <v>10</v>
      </c>
      <c r="Y278" s="1">
        <v>17</v>
      </c>
      <c r="Z278" s="1">
        <v>14</v>
      </c>
      <c r="AA278" s="1">
        <v>7</v>
      </c>
      <c r="AB278" s="3">
        <v>81</v>
      </c>
      <c r="AC278" s="1">
        <v>3</v>
      </c>
      <c r="AD278" s="1">
        <v>9</v>
      </c>
      <c r="AE278" s="1">
        <v>6</v>
      </c>
      <c r="AF278" s="1">
        <v>10</v>
      </c>
      <c r="AG278" s="1">
        <v>20</v>
      </c>
      <c r="AH278" s="1">
        <v>9</v>
      </c>
      <c r="AI278" s="1">
        <v>21</v>
      </c>
      <c r="AJ278" s="1">
        <v>11</v>
      </c>
      <c r="AK278" s="1">
        <v>10</v>
      </c>
      <c r="AL278" s="1">
        <v>7</v>
      </c>
      <c r="AM278" s="1">
        <v>24</v>
      </c>
      <c r="AN278" s="1">
        <v>23</v>
      </c>
      <c r="AO278" s="3">
        <v>153</v>
      </c>
      <c r="AP278" s="1">
        <v>16</v>
      </c>
      <c r="AQ278" s="1">
        <v>10</v>
      </c>
      <c r="AR278" s="1">
        <v>21</v>
      </c>
      <c r="AS278" s="1">
        <v>10</v>
      </c>
      <c r="AT278" s="1">
        <v>10</v>
      </c>
      <c r="AU278" s="1">
        <v>25</v>
      </c>
      <c r="AV278" s="1">
        <v>18</v>
      </c>
      <c r="AW278" s="1">
        <v>23</v>
      </c>
      <c r="AX278" s="1">
        <v>19</v>
      </c>
      <c r="AY278" s="1">
        <v>10</v>
      </c>
      <c r="AZ278" s="1">
        <v>12</v>
      </c>
      <c r="BA278" s="1">
        <v>8</v>
      </c>
      <c r="BB278" s="3">
        <v>182</v>
      </c>
      <c r="BC278" s="1">
        <v>10</v>
      </c>
      <c r="BD278" s="1">
        <v>13</v>
      </c>
      <c r="BE278" s="1">
        <v>27</v>
      </c>
      <c r="BF278" s="1">
        <v>17</v>
      </c>
      <c r="BG278" s="1">
        <v>11</v>
      </c>
      <c r="BH278" s="1">
        <v>20</v>
      </c>
      <c r="BI278" s="1">
        <v>243</v>
      </c>
      <c r="BJ278" s="1">
        <v>12</v>
      </c>
      <c r="BK278" s="1">
        <v>14</v>
      </c>
      <c r="BL278" s="1">
        <v>12</v>
      </c>
      <c r="BM278" s="1">
        <v>18</v>
      </c>
      <c r="BN278" s="1">
        <v>10</v>
      </c>
      <c r="BO278" s="3">
        <v>407</v>
      </c>
      <c r="BP278" s="3">
        <f t="shared" si="5"/>
        <v>871</v>
      </c>
    </row>
    <row r="279" spans="1:69" x14ac:dyDescent="0.2">
      <c r="A279" s="3">
        <v>229</v>
      </c>
      <c r="B279" t="s">
        <v>286</v>
      </c>
      <c r="C279" s="1">
        <v>1</v>
      </c>
      <c r="D279" s="1">
        <v>0</v>
      </c>
      <c r="E279" s="1">
        <v>0</v>
      </c>
      <c r="F279" s="1">
        <v>0</v>
      </c>
      <c r="G279" s="1">
        <v>1</v>
      </c>
      <c r="H279" s="1">
        <v>1</v>
      </c>
      <c r="I279" s="1">
        <v>1</v>
      </c>
      <c r="J279" s="1">
        <v>0</v>
      </c>
      <c r="K279" s="1">
        <v>1</v>
      </c>
      <c r="L279" s="1">
        <v>0</v>
      </c>
      <c r="M279" s="1">
        <v>1</v>
      </c>
      <c r="N279" s="1">
        <v>1</v>
      </c>
      <c r="O279" s="3">
        <v>7</v>
      </c>
      <c r="P279" s="1">
        <v>1</v>
      </c>
      <c r="Q279" s="1">
        <v>0</v>
      </c>
      <c r="R279" s="1">
        <v>1</v>
      </c>
      <c r="S279" s="1">
        <v>0</v>
      </c>
      <c r="T279" s="1">
        <v>8</v>
      </c>
      <c r="U279" s="1">
        <v>0</v>
      </c>
      <c r="V279" s="1">
        <v>2</v>
      </c>
      <c r="W279" s="1">
        <v>3</v>
      </c>
      <c r="X279" s="1">
        <v>11</v>
      </c>
      <c r="Y279" s="1">
        <v>3</v>
      </c>
      <c r="Z279" s="1">
        <v>2</v>
      </c>
      <c r="AA279" s="1">
        <v>2</v>
      </c>
      <c r="AB279" s="3">
        <v>33</v>
      </c>
      <c r="AC279" s="1">
        <v>2</v>
      </c>
      <c r="AD279" s="1">
        <v>2</v>
      </c>
      <c r="AE279" s="1">
        <v>2</v>
      </c>
      <c r="AF279" s="1">
        <v>7</v>
      </c>
      <c r="AG279" s="1">
        <v>5</v>
      </c>
      <c r="AH279" s="1">
        <v>8</v>
      </c>
      <c r="AI279" s="1">
        <v>6</v>
      </c>
      <c r="AJ279" s="1">
        <v>14</v>
      </c>
      <c r="AK279" s="1">
        <v>12</v>
      </c>
      <c r="AL279" s="1">
        <v>7</v>
      </c>
      <c r="AM279" s="1">
        <v>7</v>
      </c>
      <c r="AN279" s="1">
        <v>2</v>
      </c>
      <c r="AO279" s="3">
        <v>74</v>
      </c>
      <c r="AP279" s="1">
        <v>4</v>
      </c>
      <c r="AQ279" s="1">
        <v>1</v>
      </c>
      <c r="AR279" s="1">
        <v>3</v>
      </c>
      <c r="AS279" s="1">
        <v>8</v>
      </c>
      <c r="AT279" s="1">
        <v>18</v>
      </c>
      <c r="AU279" s="1">
        <v>4</v>
      </c>
      <c r="AV279" s="1">
        <v>11</v>
      </c>
      <c r="AW279" s="1">
        <v>20</v>
      </c>
      <c r="AX279" s="1">
        <v>10</v>
      </c>
      <c r="AY279" s="1">
        <v>4</v>
      </c>
      <c r="AZ279" s="1">
        <v>5</v>
      </c>
      <c r="BA279" s="1">
        <v>12</v>
      </c>
      <c r="BB279" s="3">
        <v>100</v>
      </c>
      <c r="BC279" s="1">
        <v>0</v>
      </c>
      <c r="BD279" s="1">
        <v>5</v>
      </c>
      <c r="BE279" s="1">
        <v>2</v>
      </c>
      <c r="BF279" s="1">
        <v>7</v>
      </c>
      <c r="BG279" s="1">
        <v>8</v>
      </c>
      <c r="BH279" s="1">
        <v>19</v>
      </c>
      <c r="BI279" s="1">
        <v>8</v>
      </c>
      <c r="BJ279" s="1">
        <v>31</v>
      </c>
      <c r="BK279" s="1">
        <v>7</v>
      </c>
      <c r="BL279" s="1">
        <v>7</v>
      </c>
      <c r="BM279" s="1">
        <v>11</v>
      </c>
      <c r="BN279" s="1">
        <v>7</v>
      </c>
      <c r="BO279" s="3">
        <v>112</v>
      </c>
      <c r="BP279" s="3">
        <f t="shared" si="5"/>
        <v>326</v>
      </c>
    </row>
    <row r="280" spans="1:69" x14ac:dyDescent="0.2">
      <c r="A280" s="3">
        <v>230</v>
      </c>
      <c r="B280" t="s">
        <v>287</v>
      </c>
      <c r="C280" s="1">
        <v>0</v>
      </c>
      <c r="D280" s="1">
        <v>0</v>
      </c>
      <c r="E280" s="1">
        <v>0</v>
      </c>
      <c r="F280" s="1">
        <v>0</v>
      </c>
      <c r="G280" s="1">
        <v>0</v>
      </c>
      <c r="H280" s="1">
        <v>0</v>
      </c>
      <c r="I280" s="1">
        <v>0</v>
      </c>
      <c r="J280" s="1">
        <v>0</v>
      </c>
      <c r="K280" s="1">
        <v>0</v>
      </c>
      <c r="L280" s="1">
        <v>0</v>
      </c>
      <c r="M280" s="1">
        <v>0</v>
      </c>
      <c r="N280" s="1">
        <v>0</v>
      </c>
      <c r="O280" s="3">
        <v>0</v>
      </c>
      <c r="P280" s="1">
        <v>0</v>
      </c>
      <c r="Q280" s="1">
        <v>0</v>
      </c>
      <c r="R280" s="1">
        <v>0</v>
      </c>
      <c r="S280" s="1">
        <v>0</v>
      </c>
      <c r="T280" s="1">
        <v>0</v>
      </c>
      <c r="U280" s="1">
        <v>0</v>
      </c>
      <c r="V280" s="1">
        <v>0</v>
      </c>
      <c r="W280" s="1">
        <v>0</v>
      </c>
      <c r="X280" s="1">
        <v>0</v>
      </c>
      <c r="Y280" s="1">
        <v>1</v>
      </c>
      <c r="Z280" s="1">
        <v>0</v>
      </c>
      <c r="AA280" s="1">
        <v>0</v>
      </c>
      <c r="AB280" s="3">
        <v>1</v>
      </c>
      <c r="AC280" s="1">
        <v>0</v>
      </c>
      <c r="AD280" s="1">
        <v>0</v>
      </c>
      <c r="AE280" s="1">
        <v>0</v>
      </c>
      <c r="AF280" s="1">
        <v>0</v>
      </c>
      <c r="AG280" s="1">
        <v>0</v>
      </c>
      <c r="AH280" s="1">
        <v>0</v>
      </c>
      <c r="AI280" s="1">
        <v>0</v>
      </c>
      <c r="AJ280" s="1">
        <v>0</v>
      </c>
      <c r="AK280" s="1">
        <v>0</v>
      </c>
      <c r="AL280" s="1">
        <v>0</v>
      </c>
      <c r="AM280" s="1">
        <v>0</v>
      </c>
      <c r="AN280" s="1">
        <v>0</v>
      </c>
      <c r="AO280" s="3">
        <v>0</v>
      </c>
      <c r="AP280" s="1">
        <v>0</v>
      </c>
      <c r="AQ280" s="1">
        <v>0</v>
      </c>
      <c r="AR280" s="1">
        <v>0</v>
      </c>
      <c r="AS280" s="1">
        <v>0</v>
      </c>
      <c r="AT280" s="1">
        <v>0</v>
      </c>
      <c r="AU280" s="1">
        <v>0</v>
      </c>
      <c r="AV280" s="1">
        <v>0</v>
      </c>
      <c r="AW280" s="1">
        <v>0</v>
      </c>
      <c r="AX280" s="1">
        <v>0</v>
      </c>
      <c r="AY280" s="1">
        <v>0</v>
      </c>
      <c r="AZ280" s="1">
        <v>0</v>
      </c>
      <c r="BA280" s="1">
        <v>0</v>
      </c>
      <c r="BB280" s="3">
        <v>0</v>
      </c>
      <c r="BC280" s="1">
        <v>0</v>
      </c>
      <c r="BD280" s="1">
        <v>0</v>
      </c>
      <c r="BE280" s="1">
        <v>0</v>
      </c>
      <c r="BF280" s="1">
        <v>0</v>
      </c>
      <c r="BG280" s="1">
        <v>0</v>
      </c>
      <c r="BH280" s="1">
        <v>0</v>
      </c>
      <c r="BI280" s="1">
        <v>0</v>
      </c>
      <c r="BJ280" s="1">
        <v>0</v>
      </c>
      <c r="BK280" s="1">
        <v>0</v>
      </c>
      <c r="BL280" s="1">
        <v>0</v>
      </c>
      <c r="BM280" s="1">
        <v>0</v>
      </c>
      <c r="BN280" s="1">
        <v>0</v>
      </c>
      <c r="BO280" s="3">
        <v>0</v>
      </c>
      <c r="BP280" s="3">
        <f t="shared" si="5"/>
        <v>1</v>
      </c>
    </row>
    <row r="281" spans="1:69" x14ac:dyDescent="0.2">
      <c r="A281" s="3">
        <v>231</v>
      </c>
      <c r="B281" t="s">
        <v>288</v>
      </c>
      <c r="C281" s="1">
        <v>0</v>
      </c>
      <c r="D281" s="1">
        <v>0</v>
      </c>
      <c r="E281" s="1">
        <v>0</v>
      </c>
      <c r="F281" s="1">
        <v>0</v>
      </c>
      <c r="G281" s="1">
        <v>0</v>
      </c>
      <c r="H281" s="1">
        <v>0</v>
      </c>
      <c r="I281" s="1">
        <v>0</v>
      </c>
      <c r="J281" s="1">
        <v>0</v>
      </c>
      <c r="K281" s="1">
        <v>1</v>
      </c>
      <c r="L281" s="1">
        <v>0</v>
      </c>
      <c r="M281" s="1">
        <v>0</v>
      </c>
      <c r="N281" s="1">
        <v>0</v>
      </c>
      <c r="O281" s="3">
        <v>1</v>
      </c>
      <c r="P281" s="1">
        <v>0</v>
      </c>
      <c r="Q281" s="1">
        <v>0</v>
      </c>
      <c r="R281" s="1">
        <v>4</v>
      </c>
      <c r="S281" s="1">
        <v>0</v>
      </c>
      <c r="T281" s="1">
        <v>5</v>
      </c>
      <c r="U281" s="1">
        <v>0</v>
      </c>
      <c r="V281" s="1">
        <v>0</v>
      </c>
      <c r="W281" s="1">
        <v>0</v>
      </c>
      <c r="X281" s="1">
        <v>0</v>
      </c>
      <c r="Y281" s="1">
        <v>1</v>
      </c>
      <c r="Z281" s="1">
        <v>0</v>
      </c>
      <c r="AA281" s="1">
        <v>1</v>
      </c>
      <c r="AB281" s="3">
        <v>11</v>
      </c>
      <c r="AC281" s="1">
        <v>0</v>
      </c>
      <c r="AD281" s="1">
        <v>0</v>
      </c>
      <c r="AE281" s="1">
        <v>1</v>
      </c>
      <c r="AF281" s="1">
        <v>0</v>
      </c>
      <c r="AG281" s="1">
        <v>1</v>
      </c>
      <c r="AH281" s="1">
        <v>0</v>
      </c>
      <c r="AI281" s="1">
        <v>0</v>
      </c>
      <c r="AJ281" s="1">
        <v>1</v>
      </c>
      <c r="AK281" s="1">
        <v>2</v>
      </c>
      <c r="AL281" s="1">
        <v>10</v>
      </c>
      <c r="AM281" s="1">
        <v>0</v>
      </c>
      <c r="AN281" s="1">
        <v>0</v>
      </c>
      <c r="AO281" s="3">
        <v>15</v>
      </c>
      <c r="AP281" s="1">
        <v>0</v>
      </c>
      <c r="AQ281" s="1">
        <v>0</v>
      </c>
      <c r="AR281" s="1">
        <v>0</v>
      </c>
      <c r="AS281" s="1">
        <v>0</v>
      </c>
      <c r="AT281" s="1">
        <v>2</v>
      </c>
      <c r="AU281" s="1">
        <v>0</v>
      </c>
      <c r="AV281" s="1">
        <v>0</v>
      </c>
      <c r="AW281" s="1">
        <v>0</v>
      </c>
      <c r="AX281" s="1">
        <v>0</v>
      </c>
      <c r="AY281" s="1">
        <v>0</v>
      </c>
      <c r="AZ281" s="1">
        <v>0</v>
      </c>
      <c r="BA281" s="1">
        <v>0</v>
      </c>
      <c r="BB281" s="3">
        <v>2</v>
      </c>
      <c r="BC281" s="1">
        <v>0</v>
      </c>
      <c r="BD281" s="1">
        <v>0</v>
      </c>
      <c r="BE281" s="1">
        <v>7</v>
      </c>
      <c r="BF281" s="1">
        <v>0</v>
      </c>
      <c r="BG281" s="1">
        <v>1</v>
      </c>
      <c r="BH281" s="1">
        <v>7</v>
      </c>
      <c r="BI281" s="1">
        <v>64</v>
      </c>
      <c r="BJ281" s="1">
        <v>0</v>
      </c>
      <c r="BK281" s="1">
        <v>0</v>
      </c>
      <c r="BL281" s="1">
        <v>1</v>
      </c>
      <c r="BM281" s="1">
        <v>0</v>
      </c>
      <c r="BN281" s="1">
        <v>0</v>
      </c>
      <c r="BO281" s="3">
        <v>80</v>
      </c>
      <c r="BP281" s="3">
        <f t="shared" si="5"/>
        <v>109</v>
      </c>
    </row>
    <row r="282" spans="1:69" x14ac:dyDescent="0.2">
      <c r="A282" s="3">
        <v>232</v>
      </c>
      <c r="B282" t="s">
        <v>289</v>
      </c>
      <c r="C282" s="1">
        <v>0</v>
      </c>
      <c r="D282" s="1">
        <v>1</v>
      </c>
      <c r="E282" s="1">
        <v>1</v>
      </c>
      <c r="F282" s="1">
        <v>0</v>
      </c>
      <c r="G282" s="1">
        <v>1</v>
      </c>
      <c r="H282" s="1">
        <v>0</v>
      </c>
      <c r="I282" s="1">
        <v>1</v>
      </c>
      <c r="J282" s="1">
        <v>0</v>
      </c>
      <c r="K282" s="1">
        <v>0</v>
      </c>
      <c r="L282" s="1">
        <v>3</v>
      </c>
      <c r="M282" s="1">
        <v>1</v>
      </c>
      <c r="N282" s="1">
        <v>1</v>
      </c>
      <c r="O282" s="3">
        <v>9</v>
      </c>
      <c r="P282" s="1">
        <v>1</v>
      </c>
      <c r="Q282" s="1">
        <v>0</v>
      </c>
      <c r="R282" s="1">
        <v>0</v>
      </c>
      <c r="S282" s="1">
        <v>1</v>
      </c>
      <c r="T282" s="1">
        <v>2</v>
      </c>
      <c r="U282" s="1">
        <v>0</v>
      </c>
      <c r="V282" s="1">
        <v>0</v>
      </c>
      <c r="W282" s="1">
        <v>0</v>
      </c>
      <c r="X282" s="1">
        <v>0</v>
      </c>
      <c r="Y282" s="1">
        <v>0</v>
      </c>
      <c r="Z282" s="1">
        <v>2</v>
      </c>
      <c r="AA282" s="1">
        <v>1</v>
      </c>
      <c r="AB282" s="3">
        <v>7</v>
      </c>
      <c r="AC282" s="1">
        <v>0</v>
      </c>
      <c r="AD282" s="1">
        <v>0</v>
      </c>
      <c r="AE282" s="1">
        <v>0</v>
      </c>
      <c r="AF282" s="1">
        <v>0</v>
      </c>
      <c r="AG282" s="1">
        <v>0</v>
      </c>
      <c r="AH282" s="1">
        <v>0</v>
      </c>
      <c r="AI282" s="1">
        <v>0</v>
      </c>
      <c r="AJ282" s="1">
        <v>0</v>
      </c>
      <c r="AK282" s="1">
        <v>0</v>
      </c>
      <c r="AL282" s="1">
        <v>0</v>
      </c>
      <c r="AM282" s="1">
        <v>0</v>
      </c>
      <c r="AN282" s="1">
        <v>0</v>
      </c>
      <c r="AO282" s="3">
        <v>0</v>
      </c>
      <c r="AP282" s="1">
        <v>0</v>
      </c>
      <c r="AQ282" s="1">
        <v>0</v>
      </c>
      <c r="AR282" s="1">
        <v>0</v>
      </c>
      <c r="AS282" s="1">
        <v>0</v>
      </c>
      <c r="AT282" s="1">
        <v>0</v>
      </c>
      <c r="AU282" s="1">
        <v>0</v>
      </c>
      <c r="AV282" s="1">
        <v>0</v>
      </c>
      <c r="AW282" s="1">
        <v>0</v>
      </c>
      <c r="AX282" s="1">
        <v>0</v>
      </c>
      <c r="AY282" s="1">
        <v>0</v>
      </c>
      <c r="AZ282" s="1">
        <v>0</v>
      </c>
      <c r="BA282" s="1">
        <v>0</v>
      </c>
      <c r="BB282" s="3">
        <v>0</v>
      </c>
      <c r="BC282" s="1">
        <v>0</v>
      </c>
      <c r="BD282" s="1">
        <v>0</v>
      </c>
      <c r="BE282" s="1">
        <v>0</v>
      </c>
      <c r="BF282" s="1">
        <v>0</v>
      </c>
      <c r="BG282" s="1">
        <v>0</v>
      </c>
      <c r="BH282" s="1">
        <v>0</v>
      </c>
      <c r="BI282" s="1">
        <v>0</v>
      </c>
      <c r="BJ282" s="1">
        <v>0</v>
      </c>
      <c r="BK282" s="1">
        <v>0</v>
      </c>
      <c r="BL282" s="1">
        <v>0</v>
      </c>
      <c r="BM282" s="1">
        <v>0</v>
      </c>
      <c r="BN282" s="1">
        <v>0</v>
      </c>
      <c r="BO282" s="3">
        <v>0</v>
      </c>
      <c r="BP282" s="3">
        <f t="shared" si="5"/>
        <v>16</v>
      </c>
    </row>
    <row r="283" spans="1:69" x14ac:dyDescent="0.2">
      <c r="A283" s="3">
        <v>233</v>
      </c>
      <c r="B283" t="s">
        <v>290</v>
      </c>
      <c r="C283" s="1">
        <v>0</v>
      </c>
      <c r="D283" s="1">
        <v>0</v>
      </c>
      <c r="E283" s="1">
        <v>0</v>
      </c>
      <c r="F283" s="1">
        <v>0</v>
      </c>
      <c r="G283" s="1">
        <v>0</v>
      </c>
      <c r="H283" s="1">
        <v>0</v>
      </c>
      <c r="I283" s="1">
        <v>0</v>
      </c>
      <c r="J283" s="1">
        <v>0</v>
      </c>
      <c r="K283" s="1">
        <v>0</v>
      </c>
      <c r="L283" s="1">
        <v>0</v>
      </c>
      <c r="M283" s="1">
        <v>0</v>
      </c>
      <c r="N283" s="1">
        <v>0</v>
      </c>
      <c r="O283" s="3">
        <v>0</v>
      </c>
      <c r="P283" s="1">
        <v>0</v>
      </c>
      <c r="Q283" s="1">
        <v>0</v>
      </c>
      <c r="R283" s="1">
        <v>0</v>
      </c>
      <c r="S283" s="1">
        <v>0</v>
      </c>
      <c r="T283" s="1">
        <v>0</v>
      </c>
      <c r="U283" s="1">
        <v>0</v>
      </c>
      <c r="V283" s="1">
        <v>0</v>
      </c>
      <c r="W283" s="1">
        <v>0</v>
      </c>
      <c r="X283" s="1">
        <v>0</v>
      </c>
      <c r="Y283" s="1">
        <v>0</v>
      </c>
      <c r="Z283" s="1">
        <v>0</v>
      </c>
      <c r="AA283" s="1">
        <v>0</v>
      </c>
      <c r="AB283" s="3">
        <v>0</v>
      </c>
      <c r="AC283" s="1">
        <v>0</v>
      </c>
      <c r="AD283" s="1">
        <v>0</v>
      </c>
      <c r="AE283" s="1">
        <v>0</v>
      </c>
      <c r="AF283" s="1">
        <v>0</v>
      </c>
      <c r="AG283" s="1">
        <v>0</v>
      </c>
      <c r="AH283" s="1">
        <v>0</v>
      </c>
      <c r="AI283" s="1">
        <v>0</v>
      </c>
      <c r="AJ283" s="1">
        <v>0</v>
      </c>
      <c r="AK283" s="1">
        <v>0</v>
      </c>
      <c r="AL283" s="1">
        <v>0</v>
      </c>
      <c r="AM283" s="1">
        <v>0</v>
      </c>
      <c r="AN283" s="1">
        <v>0</v>
      </c>
      <c r="AO283" s="3">
        <v>0</v>
      </c>
      <c r="AP283" s="1">
        <v>0</v>
      </c>
      <c r="AQ283" s="1">
        <v>0</v>
      </c>
      <c r="AR283" s="1">
        <v>0</v>
      </c>
      <c r="AS283" s="1">
        <v>0</v>
      </c>
      <c r="AT283" s="1">
        <v>0</v>
      </c>
      <c r="AU283" s="1">
        <v>0</v>
      </c>
      <c r="AV283" s="1">
        <v>0</v>
      </c>
      <c r="AW283" s="1">
        <v>0</v>
      </c>
      <c r="AX283" s="1">
        <v>0</v>
      </c>
      <c r="AY283" s="1">
        <v>0</v>
      </c>
      <c r="AZ283" s="1">
        <v>0</v>
      </c>
      <c r="BA283" s="1">
        <v>0</v>
      </c>
      <c r="BB283" s="3">
        <v>0</v>
      </c>
      <c r="BC283" s="1">
        <v>0</v>
      </c>
      <c r="BD283" s="1">
        <v>0</v>
      </c>
      <c r="BE283" s="1">
        <v>0</v>
      </c>
      <c r="BF283" s="1">
        <v>0</v>
      </c>
      <c r="BG283" s="1">
        <v>0</v>
      </c>
      <c r="BH283" s="1">
        <v>0</v>
      </c>
      <c r="BI283" s="1">
        <v>0</v>
      </c>
      <c r="BJ283" s="1">
        <v>0</v>
      </c>
      <c r="BK283" s="1">
        <v>0</v>
      </c>
      <c r="BL283" s="1">
        <v>0</v>
      </c>
      <c r="BM283" s="1">
        <v>0</v>
      </c>
      <c r="BN283" s="1">
        <v>0</v>
      </c>
      <c r="BO283" s="3">
        <v>0</v>
      </c>
      <c r="BP283" s="3">
        <f t="shared" si="5"/>
        <v>0</v>
      </c>
    </row>
    <row r="284" spans="1:69" x14ac:dyDescent="0.2">
      <c r="A284" s="3">
        <v>234</v>
      </c>
      <c r="B284" t="s">
        <v>291</v>
      </c>
      <c r="C284" s="1">
        <v>0</v>
      </c>
      <c r="D284" s="1">
        <v>0</v>
      </c>
      <c r="E284" s="1">
        <v>0</v>
      </c>
      <c r="F284" s="1">
        <v>0</v>
      </c>
      <c r="G284" s="1">
        <v>0</v>
      </c>
      <c r="H284" s="1">
        <v>0</v>
      </c>
      <c r="I284" s="1">
        <v>0</v>
      </c>
      <c r="J284" s="1">
        <v>0</v>
      </c>
      <c r="K284" s="1">
        <v>0</v>
      </c>
      <c r="L284" s="1">
        <v>0</v>
      </c>
      <c r="M284" s="1">
        <v>0</v>
      </c>
      <c r="N284" s="1">
        <v>0</v>
      </c>
      <c r="O284" s="3">
        <v>0</v>
      </c>
      <c r="P284" s="1">
        <v>0</v>
      </c>
      <c r="Q284" s="1">
        <v>0</v>
      </c>
      <c r="R284" s="1">
        <v>0</v>
      </c>
      <c r="S284" s="1">
        <v>0</v>
      </c>
      <c r="T284" s="1">
        <v>0</v>
      </c>
      <c r="U284" s="1">
        <v>0</v>
      </c>
      <c r="V284" s="1">
        <v>0</v>
      </c>
      <c r="W284" s="1">
        <v>0</v>
      </c>
      <c r="X284" s="1">
        <v>0</v>
      </c>
      <c r="Y284" s="1">
        <v>0</v>
      </c>
      <c r="Z284" s="1">
        <v>0</v>
      </c>
      <c r="AA284" s="1">
        <v>0</v>
      </c>
      <c r="AB284" s="3">
        <v>0</v>
      </c>
      <c r="AC284" s="1">
        <v>0</v>
      </c>
      <c r="AD284" s="1">
        <v>0</v>
      </c>
      <c r="AE284" s="1">
        <v>0</v>
      </c>
      <c r="AF284" s="1">
        <v>0</v>
      </c>
      <c r="AG284" s="1">
        <v>0</v>
      </c>
      <c r="AH284" s="1">
        <v>0</v>
      </c>
      <c r="AI284" s="1">
        <v>0</v>
      </c>
      <c r="AJ284" s="1">
        <v>0</v>
      </c>
      <c r="AK284" s="1">
        <v>0</v>
      </c>
      <c r="AL284" s="1">
        <v>0</v>
      </c>
      <c r="AM284" s="1">
        <v>0</v>
      </c>
      <c r="AN284" s="1">
        <v>0</v>
      </c>
      <c r="AO284" s="3">
        <v>0</v>
      </c>
      <c r="AP284" s="1">
        <v>0</v>
      </c>
      <c r="AQ284" s="1">
        <v>0</v>
      </c>
      <c r="AR284" s="1">
        <v>0</v>
      </c>
      <c r="AS284" s="1">
        <v>0</v>
      </c>
      <c r="AT284" s="1">
        <v>0</v>
      </c>
      <c r="AU284" s="1">
        <v>0</v>
      </c>
      <c r="AV284" s="1">
        <v>0</v>
      </c>
      <c r="AW284" s="1">
        <v>0</v>
      </c>
      <c r="AX284" s="1">
        <v>0</v>
      </c>
      <c r="AY284" s="1">
        <v>0</v>
      </c>
      <c r="AZ284" s="1">
        <v>0</v>
      </c>
      <c r="BA284" s="1">
        <v>0</v>
      </c>
      <c r="BB284" s="3">
        <v>0</v>
      </c>
      <c r="BC284" s="1">
        <v>0</v>
      </c>
      <c r="BD284" s="1">
        <v>0</v>
      </c>
      <c r="BE284" s="1">
        <v>0</v>
      </c>
      <c r="BF284" s="1">
        <v>0</v>
      </c>
      <c r="BG284" s="1">
        <v>0</v>
      </c>
      <c r="BH284" s="1">
        <v>0</v>
      </c>
      <c r="BI284" s="1">
        <v>0</v>
      </c>
      <c r="BJ284" s="1">
        <v>0</v>
      </c>
      <c r="BK284" s="1">
        <v>0</v>
      </c>
      <c r="BL284" s="1">
        <v>0</v>
      </c>
      <c r="BM284" s="1">
        <v>0</v>
      </c>
      <c r="BN284" s="1">
        <v>0</v>
      </c>
      <c r="BO284" s="3">
        <v>0</v>
      </c>
      <c r="BP284" s="3">
        <f t="shared" si="5"/>
        <v>0</v>
      </c>
    </row>
    <row r="285" spans="1:69" x14ac:dyDescent="0.2">
      <c r="A285" s="3">
        <v>235</v>
      </c>
      <c r="B285" t="s">
        <v>292</v>
      </c>
      <c r="C285" s="1">
        <v>0</v>
      </c>
      <c r="D285" s="1">
        <v>0</v>
      </c>
      <c r="E285" s="1">
        <v>0</v>
      </c>
      <c r="F285" s="1">
        <v>2</v>
      </c>
      <c r="G285" s="1">
        <v>0</v>
      </c>
      <c r="H285" s="1">
        <v>0</v>
      </c>
      <c r="I285" s="1">
        <v>2</v>
      </c>
      <c r="J285" s="1">
        <v>0</v>
      </c>
      <c r="K285" s="1">
        <v>0</v>
      </c>
      <c r="L285" s="1">
        <v>0</v>
      </c>
      <c r="M285" s="1">
        <v>0</v>
      </c>
      <c r="N285" s="1">
        <v>0</v>
      </c>
      <c r="O285" s="3">
        <v>4</v>
      </c>
      <c r="P285" s="1">
        <v>1</v>
      </c>
      <c r="Q285" s="1">
        <v>0</v>
      </c>
      <c r="R285" s="1">
        <v>0</v>
      </c>
      <c r="S285" s="1">
        <v>0</v>
      </c>
      <c r="T285" s="1">
        <v>1</v>
      </c>
      <c r="U285" s="1">
        <v>0</v>
      </c>
      <c r="V285" s="1">
        <v>0</v>
      </c>
      <c r="W285" s="1">
        <v>0</v>
      </c>
      <c r="X285" s="1">
        <v>1</v>
      </c>
      <c r="Y285" s="1">
        <v>3</v>
      </c>
      <c r="Z285" s="1">
        <v>1</v>
      </c>
      <c r="AA285" s="1">
        <v>1</v>
      </c>
      <c r="AB285" s="3">
        <v>8</v>
      </c>
      <c r="AC285" s="1">
        <v>0</v>
      </c>
      <c r="AD285" s="1">
        <v>0</v>
      </c>
      <c r="AE285" s="1">
        <v>1</v>
      </c>
      <c r="AF285" s="1">
        <v>1</v>
      </c>
      <c r="AG285" s="1">
        <v>1</v>
      </c>
      <c r="AH285" s="1">
        <v>2</v>
      </c>
      <c r="AI285" s="1">
        <v>3</v>
      </c>
      <c r="AJ285" s="1">
        <v>2</v>
      </c>
      <c r="AK285" s="1">
        <v>1</v>
      </c>
      <c r="AL285" s="1">
        <v>0</v>
      </c>
      <c r="AM285" s="1">
        <v>1</v>
      </c>
      <c r="AN285" s="1">
        <v>0</v>
      </c>
      <c r="AO285" s="3">
        <v>12</v>
      </c>
      <c r="AP285" s="1">
        <v>0</v>
      </c>
      <c r="AQ285" s="1">
        <v>1</v>
      </c>
      <c r="AR285" s="1">
        <v>5</v>
      </c>
      <c r="AS285" s="1">
        <v>0</v>
      </c>
      <c r="AT285" s="1">
        <v>1</v>
      </c>
      <c r="AU285" s="1">
        <v>1</v>
      </c>
      <c r="AV285" s="1">
        <v>2</v>
      </c>
      <c r="AW285" s="1">
        <v>0</v>
      </c>
      <c r="AX285" s="1">
        <v>2</v>
      </c>
      <c r="AY285" s="1">
        <v>2</v>
      </c>
      <c r="AZ285" s="1">
        <v>3</v>
      </c>
      <c r="BA285" s="1">
        <v>3</v>
      </c>
      <c r="BB285" s="3">
        <v>20</v>
      </c>
      <c r="BC285" s="1">
        <v>3</v>
      </c>
      <c r="BD285" s="1">
        <v>3</v>
      </c>
      <c r="BE285" s="1">
        <v>10</v>
      </c>
      <c r="BF285" s="1">
        <v>2</v>
      </c>
      <c r="BG285" s="1">
        <v>1</v>
      </c>
      <c r="BH285" s="1">
        <v>2</v>
      </c>
      <c r="BI285" s="1">
        <v>3</v>
      </c>
      <c r="BJ285" s="1">
        <v>0</v>
      </c>
      <c r="BK285" s="1">
        <v>1</v>
      </c>
      <c r="BL285" s="1">
        <v>6</v>
      </c>
      <c r="BM285" s="1">
        <v>2</v>
      </c>
      <c r="BN285" s="1">
        <v>3</v>
      </c>
      <c r="BO285" s="3">
        <v>36</v>
      </c>
      <c r="BP285" s="3">
        <f t="shared" si="5"/>
        <v>80</v>
      </c>
    </row>
    <row r="286" spans="1:69" x14ac:dyDescent="0.2">
      <c r="A286" s="3">
        <v>236</v>
      </c>
      <c r="B286" t="s">
        <v>293</v>
      </c>
      <c r="C286" s="1">
        <v>0</v>
      </c>
      <c r="D286" s="1">
        <v>0</v>
      </c>
      <c r="E286" s="1">
        <v>0</v>
      </c>
      <c r="F286" s="1">
        <v>0</v>
      </c>
      <c r="G286" s="1">
        <v>0</v>
      </c>
      <c r="H286" s="1">
        <v>0</v>
      </c>
      <c r="I286" s="1">
        <v>0</v>
      </c>
      <c r="J286" s="1">
        <v>0</v>
      </c>
      <c r="K286" s="1">
        <v>0</v>
      </c>
      <c r="L286" s="1">
        <v>0</v>
      </c>
      <c r="M286" s="1">
        <v>0</v>
      </c>
      <c r="N286" s="1">
        <v>0</v>
      </c>
      <c r="O286" s="3">
        <v>0</v>
      </c>
      <c r="P286" s="1">
        <v>0</v>
      </c>
      <c r="Q286" s="1">
        <v>0</v>
      </c>
      <c r="R286" s="1">
        <v>0</v>
      </c>
      <c r="S286" s="1">
        <v>0</v>
      </c>
      <c r="T286" s="1">
        <v>0</v>
      </c>
      <c r="U286" s="1">
        <v>0</v>
      </c>
      <c r="V286" s="1">
        <v>0</v>
      </c>
      <c r="W286" s="1">
        <v>0</v>
      </c>
      <c r="X286" s="1">
        <v>0</v>
      </c>
      <c r="Y286" s="1">
        <v>0</v>
      </c>
      <c r="Z286" s="1">
        <v>0</v>
      </c>
      <c r="AA286" s="1">
        <v>0</v>
      </c>
      <c r="AB286" s="3">
        <v>0</v>
      </c>
      <c r="AC286" s="1">
        <v>0</v>
      </c>
      <c r="AD286" s="1">
        <v>0</v>
      </c>
      <c r="AE286" s="1">
        <v>0</v>
      </c>
      <c r="AF286" s="1">
        <v>0</v>
      </c>
      <c r="AG286" s="1">
        <v>0</v>
      </c>
      <c r="AH286" s="1">
        <v>0</v>
      </c>
      <c r="AI286" s="1">
        <v>0</v>
      </c>
      <c r="AJ286" s="1">
        <v>0</v>
      </c>
      <c r="AK286" s="1">
        <v>0</v>
      </c>
      <c r="AL286" s="1">
        <v>0</v>
      </c>
      <c r="AM286" s="1">
        <v>0</v>
      </c>
      <c r="AN286" s="1">
        <v>0</v>
      </c>
      <c r="AO286" s="3">
        <v>0</v>
      </c>
      <c r="AP286" s="1">
        <v>0</v>
      </c>
      <c r="AQ286" s="1">
        <v>0</v>
      </c>
      <c r="AR286" s="1">
        <v>0</v>
      </c>
      <c r="AS286" s="1">
        <v>0</v>
      </c>
      <c r="AT286" s="1">
        <v>0</v>
      </c>
      <c r="AU286" s="1">
        <v>0</v>
      </c>
      <c r="AV286" s="1">
        <v>0</v>
      </c>
      <c r="AW286" s="1">
        <v>0</v>
      </c>
      <c r="AX286" s="1">
        <v>0</v>
      </c>
      <c r="AY286" s="1">
        <v>0</v>
      </c>
      <c r="AZ286" s="1">
        <v>0</v>
      </c>
      <c r="BA286" s="1">
        <v>0</v>
      </c>
      <c r="BB286" s="3">
        <v>0</v>
      </c>
      <c r="BC286" s="1">
        <v>0</v>
      </c>
      <c r="BD286" s="1">
        <v>0</v>
      </c>
      <c r="BE286" s="1">
        <v>0</v>
      </c>
      <c r="BF286" s="1">
        <v>0</v>
      </c>
      <c r="BG286" s="1">
        <v>0</v>
      </c>
      <c r="BH286" s="1">
        <v>0</v>
      </c>
      <c r="BI286" s="1">
        <v>0</v>
      </c>
      <c r="BJ286" s="1">
        <v>0</v>
      </c>
      <c r="BK286" s="1">
        <v>0</v>
      </c>
      <c r="BL286" s="1">
        <v>0</v>
      </c>
      <c r="BM286" s="1">
        <v>0</v>
      </c>
      <c r="BN286" s="1">
        <v>0</v>
      </c>
      <c r="BO286" s="3">
        <v>0</v>
      </c>
      <c r="BP286" s="3">
        <f t="shared" si="5"/>
        <v>0</v>
      </c>
    </row>
    <row r="287" spans="1:69" x14ac:dyDescent="0.2">
      <c r="A287" s="3">
        <v>237</v>
      </c>
      <c r="B287" t="s">
        <v>294</v>
      </c>
      <c r="C287" s="1">
        <v>0</v>
      </c>
      <c r="D287" s="1">
        <v>0</v>
      </c>
      <c r="E287" s="1">
        <v>0</v>
      </c>
      <c r="F287" s="1">
        <v>0</v>
      </c>
      <c r="G287" s="1">
        <v>0</v>
      </c>
      <c r="H287" s="1">
        <v>0</v>
      </c>
      <c r="I287" s="1">
        <v>0</v>
      </c>
      <c r="J287" s="1">
        <v>0</v>
      </c>
      <c r="K287" s="1">
        <v>0</v>
      </c>
      <c r="L287" s="1">
        <v>0</v>
      </c>
      <c r="M287" s="1">
        <v>0</v>
      </c>
      <c r="N287" s="1">
        <v>0</v>
      </c>
      <c r="O287" s="3">
        <v>0</v>
      </c>
      <c r="P287" s="1">
        <v>0</v>
      </c>
      <c r="Q287" s="1">
        <v>0</v>
      </c>
      <c r="R287" s="1">
        <v>0</v>
      </c>
      <c r="S287" s="1">
        <v>0</v>
      </c>
      <c r="T287" s="1">
        <v>0</v>
      </c>
      <c r="U287" s="1">
        <v>0</v>
      </c>
      <c r="V287" s="1">
        <v>0</v>
      </c>
      <c r="W287" s="1">
        <v>0</v>
      </c>
      <c r="X287" s="1">
        <v>0</v>
      </c>
      <c r="Y287" s="1">
        <v>0</v>
      </c>
      <c r="Z287" s="1">
        <v>0</v>
      </c>
      <c r="AA287" s="1">
        <v>0</v>
      </c>
      <c r="AB287" s="3">
        <v>0</v>
      </c>
      <c r="AC287" s="1">
        <v>0</v>
      </c>
      <c r="AD287" s="1">
        <v>0</v>
      </c>
      <c r="AE287" s="1">
        <v>0</v>
      </c>
      <c r="AF287" s="1">
        <v>0</v>
      </c>
      <c r="AG287" s="1">
        <v>0</v>
      </c>
      <c r="AH287" s="1">
        <v>0</v>
      </c>
      <c r="AI287" s="1">
        <v>0</v>
      </c>
      <c r="AJ287" s="1">
        <v>0</v>
      </c>
      <c r="AK287" s="1">
        <v>0</v>
      </c>
      <c r="AL287" s="1">
        <v>0</v>
      </c>
      <c r="AM287" s="1">
        <v>0</v>
      </c>
      <c r="AN287" s="1">
        <v>0</v>
      </c>
      <c r="AO287" s="3">
        <v>0</v>
      </c>
      <c r="AP287" s="1">
        <v>0</v>
      </c>
      <c r="AQ287" s="1">
        <v>0</v>
      </c>
      <c r="AR287" s="1">
        <v>0</v>
      </c>
      <c r="AS287" s="1">
        <v>0</v>
      </c>
      <c r="AT287" s="1">
        <v>0</v>
      </c>
      <c r="AU287" s="1">
        <v>0</v>
      </c>
      <c r="AV287" s="1">
        <v>0</v>
      </c>
      <c r="AW287" s="1">
        <v>0</v>
      </c>
      <c r="AX287" s="1">
        <v>0</v>
      </c>
      <c r="AY287" s="1">
        <v>0</v>
      </c>
      <c r="AZ287" s="1">
        <v>0</v>
      </c>
      <c r="BA287" s="1">
        <v>0</v>
      </c>
      <c r="BB287" s="3">
        <v>0</v>
      </c>
      <c r="BC287" s="1">
        <v>0</v>
      </c>
      <c r="BD287" s="1">
        <v>0</v>
      </c>
      <c r="BE287" s="1">
        <v>0</v>
      </c>
      <c r="BF287" s="1">
        <v>0</v>
      </c>
      <c r="BG287" s="1">
        <v>0</v>
      </c>
      <c r="BH287" s="1">
        <v>0</v>
      </c>
      <c r="BI287" s="1">
        <v>0</v>
      </c>
      <c r="BJ287" s="1">
        <v>0</v>
      </c>
      <c r="BK287" s="1">
        <v>0</v>
      </c>
      <c r="BL287" s="1">
        <v>0</v>
      </c>
      <c r="BM287" s="1">
        <v>0</v>
      </c>
      <c r="BN287" s="1">
        <v>0</v>
      </c>
      <c r="BO287" s="3">
        <v>0</v>
      </c>
      <c r="BP287" s="3">
        <f t="shared" si="5"/>
        <v>0</v>
      </c>
    </row>
    <row r="288" spans="1:69" s="2" customFormat="1" x14ac:dyDescent="0.2">
      <c r="A288" s="3" t="s">
        <v>305</v>
      </c>
      <c r="B288" s="2" t="s">
        <v>295</v>
      </c>
      <c r="C288" s="3">
        <v>67</v>
      </c>
      <c r="D288" s="3">
        <v>130</v>
      </c>
      <c r="E288" s="3">
        <v>99</v>
      </c>
      <c r="F288" s="3">
        <v>178</v>
      </c>
      <c r="G288" s="3">
        <v>375</v>
      </c>
      <c r="H288" s="3">
        <v>415</v>
      </c>
      <c r="I288" s="3">
        <v>178</v>
      </c>
      <c r="J288" s="3">
        <v>57</v>
      </c>
      <c r="K288" s="3">
        <v>141</v>
      </c>
      <c r="L288" s="3">
        <v>279</v>
      </c>
      <c r="M288" s="3">
        <v>260</v>
      </c>
      <c r="N288" s="3">
        <v>162</v>
      </c>
      <c r="O288" s="3">
        <v>2341</v>
      </c>
      <c r="P288" s="3">
        <v>318</v>
      </c>
      <c r="Q288" s="3">
        <v>432</v>
      </c>
      <c r="R288" s="3">
        <v>713</v>
      </c>
      <c r="S288" s="3">
        <v>940</v>
      </c>
      <c r="T288" s="3">
        <v>1837</v>
      </c>
      <c r="U288" s="3">
        <v>2426</v>
      </c>
      <c r="V288" s="3">
        <v>2894</v>
      </c>
      <c r="W288" s="3">
        <v>3538</v>
      </c>
      <c r="X288" s="3">
        <v>3656</v>
      </c>
      <c r="Y288" s="3">
        <v>3771</v>
      </c>
      <c r="Z288" s="3">
        <v>3409</v>
      </c>
      <c r="AA288" s="3">
        <v>5748</v>
      </c>
      <c r="AB288" s="3">
        <v>29682</v>
      </c>
      <c r="AC288" s="3">
        <v>3748</v>
      </c>
      <c r="AD288" s="3">
        <v>3669</v>
      </c>
      <c r="AE288" s="3">
        <v>4408</v>
      </c>
      <c r="AF288" s="3">
        <v>4449</v>
      </c>
      <c r="AG288" s="3">
        <v>5394</v>
      </c>
      <c r="AH288" s="3">
        <v>5964</v>
      </c>
      <c r="AI288" s="3">
        <v>7341</v>
      </c>
      <c r="AJ288" s="3">
        <v>8400</v>
      </c>
      <c r="AK288" s="3">
        <v>7550</v>
      </c>
      <c r="AL288" s="3">
        <v>7162</v>
      </c>
      <c r="AM288" s="3">
        <v>5614</v>
      </c>
      <c r="AN288" s="3">
        <v>7953</v>
      </c>
      <c r="AO288" s="3">
        <v>71652</v>
      </c>
      <c r="AP288" s="3">
        <v>4463</v>
      </c>
      <c r="AQ288" s="3">
        <v>4457</v>
      </c>
      <c r="AR288" s="3">
        <v>4372</v>
      </c>
      <c r="AS288" s="3">
        <v>5640</v>
      </c>
      <c r="AT288" s="3">
        <v>7564</v>
      </c>
      <c r="AU288" s="3">
        <v>6665</v>
      </c>
      <c r="AV288" s="3">
        <v>9047</v>
      </c>
      <c r="AW288" s="3">
        <v>11317</v>
      </c>
      <c r="AX288" s="3">
        <v>9954</v>
      </c>
      <c r="AY288" s="3">
        <v>8135</v>
      </c>
      <c r="AZ288" s="3">
        <v>6875</v>
      </c>
      <c r="BA288" s="3">
        <v>10146</v>
      </c>
      <c r="BB288" s="3">
        <v>88635</v>
      </c>
      <c r="BC288" s="3">
        <v>5085</v>
      </c>
      <c r="BD288" s="3">
        <v>4255</v>
      </c>
      <c r="BE288" s="3">
        <v>4025</v>
      </c>
      <c r="BF288" s="3">
        <v>7630</v>
      </c>
      <c r="BG288" s="3">
        <v>7605</v>
      </c>
      <c r="BH288" s="3">
        <v>8950</v>
      </c>
      <c r="BI288" s="3">
        <v>12057</v>
      </c>
      <c r="BJ288" s="3">
        <v>12691</v>
      </c>
      <c r="BK288" s="3">
        <v>11598</v>
      </c>
      <c r="BL288" s="3">
        <v>9770</v>
      </c>
      <c r="BM288" s="3">
        <v>7963</v>
      </c>
      <c r="BN288" s="3">
        <v>11895</v>
      </c>
      <c r="BO288" s="3">
        <v>103524</v>
      </c>
      <c r="BP288" s="3"/>
      <c r="BQ288"/>
    </row>
    <row r="289" spans="1:69" s="2" customFormat="1" x14ac:dyDescent="0.2">
      <c r="A289" s="3" t="s">
        <v>306</v>
      </c>
      <c r="B289" s="2" t="s">
        <v>296</v>
      </c>
      <c r="C289" s="3">
        <v>126515</v>
      </c>
      <c r="D289" s="3">
        <v>105788</v>
      </c>
      <c r="E289" s="3">
        <v>119979</v>
      </c>
      <c r="F289" s="3">
        <v>112756</v>
      </c>
      <c r="G289" s="3">
        <v>139433</v>
      </c>
      <c r="H289" s="3">
        <v>126844</v>
      </c>
      <c r="I289" s="3">
        <v>127249</v>
      </c>
      <c r="J289" s="3">
        <v>118533</v>
      </c>
      <c r="K289" s="3">
        <v>120100</v>
      </c>
      <c r="L289" s="3">
        <v>146137</v>
      </c>
      <c r="M289" s="3">
        <v>150577</v>
      </c>
      <c r="N289" s="3">
        <v>163619</v>
      </c>
      <c r="O289" s="3">
        <v>1557530</v>
      </c>
      <c r="P289" s="3">
        <v>136298</v>
      </c>
      <c r="Q289" s="3">
        <v>117509</v>
      </c>
      <c r="R289" s="3">
        <v>158629</v>
      </c>
      <c r="S289" s="3">
        <v>230076</v>
      </c>
      <c r="T289" s="3">
        <v>354920</v>
      </c>
      <c r="U289" s="3">
        <v>483883</v>
      </c>
      <c r="V289" s="3">
        <v>645121</v>
      </c>
      <c r="W289" s="3">
        <v>670509</v>
      </c>
      <c r="X289" s="3">
        <v>700606</v>
      </c>
      <c r="Y289" s="3">
        <v>734228</v>
      </c>
      <c r="Z289" s="3">
        <v>704783</v>
      </c>
      <c r="AA289" s="3">
        <v>952469</v>
      </c>
      <c r="AB289" s="3">
        <v>5889031</v>
      </c>
      <c r="AC289" s="3">
        <v>798469</v>
      </c>
      <c r="AD289" s="3">
        <v>749436</v>
      </c>
      <c r="AE289" s="3">
        <v>869244</v>
      </c>
      <c r="AF289" s="3">
        <v>865811</v>
      </c>
      <c r="AG289" s="3">
        <v>953714</v>
      </c>
      <c r="AH289" s="3">
        <v>1062791</v>
      </c>
      <c r="AI289" s="3">
        <v>1121189</v>
      </c>
      <c r="AJ289" s="3">
        <v>1132638</v>
      </c>
      <c r="AK289" s="3">
        <v>1070245</v>
      </c>
      <c r="AL289" s="3">
        <v>978519</v>
      </c>
      <c r="AM289" s="3">
        <v>931227</v>
      </c>
      <c r="AN289" s="3">
        <v>1144542</v>
      </c>
      <c r="AO289" s="3">
        <v>11677825</v>
      </c>
      <c r="AP289" s="3">
        <v>927746</v>
      </c>
      <c r="AQ289" s="3">
        <v>1062149</v>
      </c>
      <c r="AR289" s="3">
        <v>1041861</v>
      </c>
      <c r="AS289" s="3">
        <v>1066958</v>
      </c>
      <c r="AT289" s="3">
        <v>1145499</v>
      </c>
      <c r="AU289" s="3">
        <v>1197941</v>
      </c>
      <c r="AV289" s="3">
        <v>1310756</v>
      </c>
      <c r="AW289" s="3">
        <v>1339946</v>
      </c>
      <c r="AX289" s="3">
        <v>1279258</v>
      </c>
      <c r="AY289" s="3">
        <v>1193867</v>
      </c>
      <c r="AZ289" s="3">
        <v>1092067</v>
      </c>
      <c r="BA289" s="3">
        <v>1228630</v>
      </c>
      <c r="BB289" s="3">
        <v>13886678</v>
      </c>
      <c r="BC289" s="3">
        <v>1156012</v>
      </c>
      <c r="BD289" s="3">
        <v>1022894</v>
      </c>
      <c r="BE289" s="3">
        <v>984769</v>
      </c>
      <c r="BF289" s="3">
        <v>1164539</v>
      </c>
      <c r="BG289" s="3">
        <v>1306000</v>
      </c>
      <c r="BH289" s="3">
        <v>1417096</v>
      </c>
      <c r="BI289" s="3">
        <v>1481346</v>
      </c>
      <c r="BJ289" s="3">
        <v>1505220</v>
      </c>
      <c r="BK289" s="3">
        <v>1394910</v>
      </c>
      <c r="BL289" s="3">
        <v>1348993</v>
      </c>
      <c r="BM289" s="3">
        <v>1199007</v>
      </c>
      <c r="BN289" s="3">
        <v>1405860</v>
      </c>
      <c r="BO289" s="3">
        <v>15386646</v>
      </c>
      <c r="BP289" s="3"/>
      <c r="BQ289"/>
    </row>
    <row r="290" spans="1:69" x14ac:dyDescent="0.2">
      <c r="A290" s="1"/>
      <c r="O290"/>
      <c r="AB290"/>
      <c r="AO290"/>
      <c r="BB290"/>
      <c r="BO290"/>
      <c r="BP290" s="1"/>
    </row>
    <row r="291" spans="1:69" x14ac:dyDescent="0.2">
      <c r="A291" s="1"/>
      <c r="O291"/>
      <c r="AB291"/>
      <c r="AO291"/>
      <c r="BB291"/>
      <c r="BO291"/>
      <c r="BP291" s="1"/>
    </row>
    <row r="292" spans="1:69" x14ac:dyDescent="0.2">
      <c r="BO292"/>
      <c r="BP292" s="1"/>
    </row>
  </sheetData>
  <mergeCells count="16">
    <mergeCell ref="AC43:AO43"/>
    <mergeCell ref="AP43:BB43"/>
    <mergeCell ref="BC43:BO43"/>
    <mergeCell ref="A1:A4"/>
    <mergeCell ref="A41:A44"/>
    <mergeCell ref="BC3:BO3"/>
    <mergeCell ref="B41:B44"/>
    <mergeCell ref="C43:O43"/>
    <mergeCell ref="C41:O42"/>
    <mergeCell ref="C1:O2"/>
    <mergeCell ref="P43:AB43"/>
    <mergeCell ref="B1:B4"/>
    <mergeCell ref="C3:O3"/>
    <mergeCell ref="P3:AB3"/>
    <mergeCell ref="AC3:AO3"/>
    <mergeCell ref="AP3:BB3"/>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E0DC-85AF-9B4C-A5D2-840F5CB4281E}">
  <dimension ref="A1:U50"/>
  <sheetViews>
    <sheetView topLeftCell="A12" zoomScale="118" workbookViewId="0">
      <selection activeCell="J40" sqref="J40"/>
    </sheetView>
  </sheetViews>
  <sheetFormatPr baseColWidth="10" defaultRowHeight="16" x14ac:dyDescent="0.2"/>
  <cols>
    <col min="1" max="1" width="12.6640625" customWidth="1"/>
    <col min="2" max="2" width="11.6640625" style="7" customWidth="1"/>
    <col min="6" max="6" width="15.6640625" customWidth="1"/>
    <col min="9" max="9" width="5" customWidth="1"/>
    <col min="10" max="10" width="16.1640625" customWidth="1"/>
    <col min="11" max="11" width="12" customWidth="1"/>
  </cols>
  <sheetData>
    <row r="1" spans="1:21" x14ac:dyDescent="0.2">
      <c r="A1" s="39" t="s">
        <v>308</v>
      </c>
      <c r="B1" s="39"/>
      <c r="C1" s="39"/>
      <c r="D1" s="39"/>
      <c r="E1" s="39"/>
      <c r="F1" s="39"/>
      <c r="G1" s="39"/>
      <c r="H1" s="39"/>
      <c r="J1" s="39" t="s">
        <v>297</v>
      </c>
      <c r="K1" s="39"/>
      <c r="L1" s="39"/>
      <c r="M1" s="39"/>
      <c r="N1" s="39"/>
      <c r="O1" s="39"/>
      <c r="P1" s="39"/>
      <c r="Q1" s="39"/>
    </row>
    <row r="2" spans="1:21" x14ac:dyDescent="0.2">
      <c r="A2" s="5" t="s">
        <v>298</v>
      </c>
      <c r="B2" s="9">
        <v>1</v>
      </c>
      <c r="J2" s="5" t="s">
        <v>298</v>
      </c>
      <c r="K2" s="12">
        <v>2</v>
      </c>
    </row>
    <row r="3" spans="1:21" x14ac:dyDescent="0.2">
      <c r="A3" s="5" t="s">
        <v>0</v>
      </c>
      <c r="B3" s="9" t="str">
        <f>IF(MATCH('Tabel Bantuan'!B4,Data!B6:B21,0),"Udara",IF(MATCH('Tabel Bantuan'!B4,Data!B23:B29,0),"Laut","Darat"))</f>
        <v>Udara</v>
      </c>
      <c r="D3" s="16"/>
      <c r="F3" s="43" t="s">
        <v>316</v>
      </c>
      <c r="G3" s="43"/>
      <c r="J3" s="13" t="s">
        <v>315</v>
      </c>
      <c r="K3" s="14" t="str">
        <f>VLOOKUP('Tabel Bantuan'!K2,'Tabel Bantuan'!I11:J17,2,FALSE)</f>
        <v>ASIA (Excl. Asean)</v>
      </c>
      <c r="M3" s="43" t="s">
        <v>327</v>
      </c>
      <c r="N3" s="43"/>
      <c r="P3" s="43" t="s">
        <v>317</v>
      </c>
      <c r="Q3" s="43"/>
    </row>
    <row r="4" spans="1:21" x14ac:dyDescent="0.2">
      <c r="A4" s="5" t="s">
        <v>307</v>
      </c>
      <c r="B4" s="9" t="str">
        <f>VLOOKUP('Tabel Bantuan'!B2,Data!A5:B36,2,FALSE)</f>
        <v>Ngurah Rai</v>
      </c>
      <c r="F4" s="44">
        <f>SUM(B8:D12)</f>
        <v>48397710</v>
      </c>
      <c r="G4" s="43"/>
      <c r="K4" s="6"/>
      <c r="M4" s="45">
        <f>SUM(Data!O289,Data!AB289,Data!AO289,Data!BB289,Data!BO289)</f>
        <v>48397710</v>
      </c>
      <c r="N4" s="45"/>
      <c r="P4" s="43">
        <f>COUNTA(Data!B45:B288)-COUNTA(J11:J17)</f>
        <v>237</v>
      </c>
      <c r="Q4" s="43"/>
    </row>
    <row r="5" spans="1:21" x14ac:dyDescent="0.2">
      <c r="J5" s="5" t="s">
        <v>298</v>
      </c>
      <c r="K5" s="12">
        <v>1</v>
      </c>
    </row>
    <row r="6" spans="1:21" x14ac:dyDescent="0.2">
      <c r="A6" s="42" t="s">
        <v>309</v>
      </c>
      <c r="B6" s="42"/>
      <c r="C6" s="42"/>
      <c r="D6" s="42"/>
      <c r="F6" s="43" t="s">
        <v>331</v>
      </c>
      <c r="G6" s="43"/>
      <c r="H6" s="43"/>
      <c r="J6" s="5" t="s">
        <v>51</v>
      </c>
      <c r="K6" s="12" t="str">
        <f>VLOOKUP('Tabel Bantuan'!K5,Data!A45:B287,2,FALSE)</f>
        <v>Malaysia</v>
      </c>
    </row>
    <row r="7" spans="1:21" x14ac:dyDescent="0.2">
      <c r="A7" s="42"/>
      <c r="B7" s="42"/>
      <c r="C7" s="42"/>
      <c r="D7" s="42"/>
      <c r="F7" s="44" t="str">
        <f>INDEX(B16:D16,MATCH(MAX(B22:D22),B22:D22,0))</f>
        <v>Pintu Udara</v>
      </c>
      <c r="G7" s="44"/>
      <c r="H7" s="44"/>
    </row>
    <row r="8" spans="1:21" ht="16" customHeight="1" x14ac:dyDescent="0.2">
      <c r="A8" s="5">
        <v>2021</v>
      </c>
      <c r="B8" s="47">
        <f>Data!O39</f>
        <v>1557530</v>
      </c>
      <c r="C8" s="47"/>
      <c r="D8" s="47"/>
      <c r="J8" s="42" t="s">
        <v>318</v>
      </c>
      <c r="K8" s="42"/>
      <c r="L8" s="42"/>
      <c r="M8" s="42"/>
      <c r="N8" s="42"/>
      <c r="O8" s="42"/>
      <c r="P8" s="48" t="s">
        <v>330</v>
      </c>
      <c r="Q8" s="48"/>
    </row>
    <row r="9" spans="1:21" x14ac:dyDescent="0.2">
      <c r="A9" s="5">
        <v>2022</v>
      </c>
      <c r="B9" s="47">
        <f>Data!AB39</f>
        <v>5889031</v>
      </c>
      <c r="C9" s="47"/>
      <c r="D9" s="47"/>
      <c r="F9" s="42" t="s">
        <v>338</v>
      </c>
      <c r="G9" s="42"/>
      <c r="H9" s="42"/>
      <c r="J9" s="42"/>
      <c r="K9" s="42"/>
      <c r="L9" s="42"/>
      <c r="M9" s="42"/>
      <c r="N9" s="42"/>
      <c r="O9" s="42"/>
      <c r="P9" s="48"/>
      <c r="Q9" s="48"/>
    </row>
    <row r="10" spans="1:21" x14ac:dyDescent="0.2">
      <c r="A10" s="5">
        <v>2023</v>
      </c>
      <c r="B10" s="47">
        <f>Data!AO39</f>
        <v>11677825</v>
      </c>
      <c r="C10" s="47"/>
      <c r="D10" s="47"/>
      <c r="F10" s="42"/>
      <c r="G10" s="42"/>
      <c r="H10" s="42"/>
      <c r="J10" s="5" t="s">
        <v>311</v>
      </c>
      <c r="K10" s="4">
        <v>2021</v>
      </c>
      <c r="L10" s="4">
        <v>2022</v>
      </c>
      <c r="M10" s="4">
        <v>2023</v>
      </c>
      <c r="N10" s="4">
        <v>2024</v>
      </c>
      <c r="O10" s="4">
        <v>2025</v>
      </c>
      <c r="P10" s="48"/>
      <c r="Q10" s="48"/>
    </row>
    <row r="11" spans="1:21" x14ac:dyDescent="0.2">
      <c r="A11" s="5">
        <v>2024</v>
      </c>
      <c r="B11" s="47">
        <f>Data!BB39</f>
        <v>13886678</v>
      </c>
      <c r="C11" s="47"/>
      <c r="D11" s="47"/>
      <c r="F11" s="5" t="s">
        <v>311</v>
      </c>
      <c r="G11" s="43">
        <f>B32</f>
        <v>2025</v>
      </c>
      <c r="H11" s="43"/>
      <c r="I11">
        <v>1</v>
      </c>
      <c r="J11" s="5" t="s">
        <v>319</v>
      </c>
      <c r="K11" s="8">
        <f>Data!O56</f>
        <v>1347714</v>
      </c>
      <c r="L11" s="10">
        <f>Data!AB56</f>
        <v>3111878</v>
      </c>
      <c r="M11" s="10">
        <f>Data!AO56</f>
        <v>4977336</v>
      </c>
      <c r="N11" s="10">
        <f>Data!BB56</f>
        <v>5572869</v>
      </c>
      <c r="O11" s="10">
        <f>Data!BO56</f>
        <v>6356941</v>
      </c>
      <c r="P11" s="45">
        <f>SUM($K11:$O11)</f>
        <v>21366738</v>
      </c>
      <c r="Q11" s="43"/>
    </row>
    <row r="12" spans="1:21" x14ac:dyDescent="0.2">
      <c r="A12" s="5">
        <v>2025</v>
      </c>
      <c r="B12" s="47">
        <f>Data!BO39</f>
        <v>15386646</v>
      </c>
      <c r="C12" s="47"/>
      <c r="D12" s="47"/>
      <c r="I12">
        <v>2</v>
      </c>
      <c r="J12" s="5" t="s">
        <v>320</v>
      </c>
      <c r="K12" s="10">
        <f>Data!O80</f>
        <v>85353</v>
      </c>
      <c r="L12" s="10">
        <f>Data!AB80</f>
        <v>722608</v>
      </c>
      <c r="M12" s="10">
        <f>Data!AO80</f>
        <v>2254077</v>
      </c>
      <c r="N12" s="10">
        <f>Data!BB80</f>
        <v>3069060</v>
      </c>
      <c r="O12" s="10">
        <f>Data!BO80</f>
        <v>3498891</v>
      </c>
      <c r="P12" s="45">
        <f>SUM($K12:$O12)</f>
        <v>9629989</v>
      </c>
      <c r="Q12" s="43"/>
    </row>
    <row r="13" spans="1:21" x14ac:dyDescent="0.2">
      <c r="F13" s="5" t="s">
        <v>0</v>
      </c>
      <c r="G13" s="43" t="s">
        <v>330</v>
      </c>
      <c r="H13" s="43"/>
      <c r="I13">
        <v>3</v>
      </c>
      <c r="J13" s="5" t="s">
        <v>321</v>
      </c>
      <c r="K13" s="10">
        <f>Data!O97</f>
        <v>5639</v>
      </c>
      <c r="L13" s="10">
        <f>Data!AB97</f>
        <v>81834</v>
      </c>
      <c r="M13" s="10">
        <f>Data!AO97</f>
        <v>181558</v>
      </c>
      <c r="N13" s="10">
        <f>Data!BB97</f>
        <v>224428</v>
      </c>
      <c r="O13" s="10">
        <f>Data!BO97</f>
        <v>260098</v>
      </c>
      <c r="P13" s="45">
        <f t="shared" ref="P13:P16" si="0">SUM($K13:$O13)</f>
        <v>753557</v>
      </c>
      <c r="Q13" s="43"/>
      <c r="S13" s="43" t="s">
        <v>335</v>
      </c>
      <c r="T13" s="43"/>
      <c r="U13" s="43"/>
    </row>
    <row r="14" spans="1:21" x14ac:dyDescent="0.2">
      <c r="A14" s="46" t="s">
        <v>310</v>
      </c>
      <c r="B14" s="46"/>
      <c r="C14" s="46"/>
      <c r="D14" s="46"/>
      <c r="F14" s="5" t="s">
        <v>312</v>
      </c>
      <c r="G14" s="45">
        <f>VLOOKUP($B$32,$A$16:$D$21,2,FALSE)</f>
        <v>10819291</v>
      </c>
      <c r="H14" s="45"/>
      <c r="I14">
        <v>4</v>
      </c>
      <c r="J14" s="5" t="s">
        <v>322</v>
      </c>
      <c r="K14" s="10">
        <f>Data!O156</f>
        <v>55906</v>
      </c>
      <c r="L14" s="10">
        <f>Data!AB156</f>
        <v>960410</v>
      </c>
      <c r="M14" s="10">
        <f>Data!AO156</f>
        <v>2000559</v>
      </c>
      <c r="N14" s="10">
        <f>Data!BB156</f>
        <v>2370743</v>
      </c>
      <c r="O14" s="10">
        <f>Data!BO156</f>
        <v>2456951</v>
      </c>
      <c r="P14" s="45">
        <f t="shared" si="0"/>
        <v>7844569</v>
      </c>
      <c r="Q14" s="43"/>
      <c r="S14" s="15" t="s">
        <v>315</v>
      </c>
      <c r="T14" s="43" t="str">
        <f>'Tabel Bantuan'!K3</f>
        <v>ASIA (Excl. Asean)</v>
      </c>
      <c r="U14" s="43"/>
    </row>
    <row r="15" spans="1:21" x14ac:dyDescent="0.2">
      <c r="A15" s="46"/>
      <c r="B15" s="46"/>
      <c r="C15" s="46"/>
      <c r="D15" s="46"/>
      <c r="F15" s="5" t="s">
        <v>313</v>
      </c>
      <c r="G15" s="45">
        <f>VLOOKUP($B$32,$A$16:$D$21,3,FALSE)</f>
        <v>3028847</v>
      </c>
      <c r="H15" s="45"/>
      <c r="I15">
        <v>5</v>
      </c>
      <c r="J15" s="5" t="s">
        <v>323</v>
      </c>
      <c r="K15" s="10">
        <f>Data!O204</f>
        <v>25073</v>
      </c>
      <c r="L15" s="10">
        <f>Data!AB204</f>
        <v>260095</v>
      </c>
      <c r="M15" s="10">
        <f>Data!AO204</f>
        <v>566883</v>
      </c>
      <c r="N15" s="10">
        <f>Data!BB204</f>
        <v>603300</v>
      </c>
      <c r="O15" s="10">
        <f>Data!BO204</f>
        <v>615801</v>
      </c>
      <c r="P15" s="45">
        <f t="shared" si="0"/>
        <v>2071152</v>
      </c>
      <c r="Q15" s="43"/>
    </row>
    <row r="16" spans="1:21" x14ac:dyDescent="0.2">
      <c r="A16" s="5" t="s">
        <v>311</v>
      </c>
      <c r="B16" s="5" t="s">
        <v>312</v>
      </c>
      <c r="C16" s="5" t="s">
        <v>313</v>
      </c>
      <c r="D16" s="5" t="s">
        <v>314</v>
      </c>
      <c r="F16" s="5" t="s">
        <v>314</v>
      </c>
      <c r="G16" s="45">
        <f>VLOOKUP($B$32,$A$16:$D$21,4,FALSE)</f>
        <v>1538508</v>
      </c>
      <c r="H16" s="45"/>
      <c r="I16">
        <v>6</v>
      </c>
      <c r="J16" s="5" t="s">
        <v>324</v>
      </c>
      <c r="K16" s="10">
        <f>Data!O227</f>
        <v>35504</v>
      </c>
      <c r="L16" s="10">
        <f>Data!AB227</f>
        <v>722524</v>
      </c>
      <c r="M16" s="10">
        <f>Data!AO227</f>
        <v>1625760</v>
      </c>
      <c r="N16" s="10">
        <f>Data!BB227</f>
        <v>1957643</v>
      </c>
      <c r="O16" s="10">
        <f>Data!BO227</f>
        <v>2094440</v>
      </c>
      <c r="P16" s="45">
        <f t="shared" si="0"/>
        <v>6435871</v>
      </c>
      <c r="Q16" s="43"/>
      <c r="S16" s="4" t="s">
        <v>311</v>
      </c>
      <c r="T16" s="48" t="s">
        <v>336</v>
      </c>
      <c r="U16" s="48"/>
    </row>
    <row r="17" spans="1:21" x14ac:dyDescent="0.2">
      <c r="A17" s="5">
        <v>2021</v>
      </c>
      <c r="B17" s="10">
        <f>Data!O5</f>
        <v>137242</v>
      </c>
      <c r="C17" s="11">
        <f>Data!O22</f>
        <v>415472</v>
      </c>
      <c r="D17" s="11">
        <f>Data!O30</f>
        <v>1004816</v>
      </c>
      <c r="E17" s="29">
        <f>SUM($B17:$D17)</f>
        <v>1557530</v>
      </c>
      <c r="F17" s="5" t="s">
        <v>49</v>
      </c>
      <c r="G17" s="45">
        <f>SUM('Tabel Bantuan'!G14:H16)</f>
        <v>15386646</v>
      </c>
      <c r="H17" s="45"/>
      <c r="I17">
        <v>7</v>
      </c>
      <c r="J17" s="5" t="s">
        <v>325</v>
      </c>
      <c r="K17" s="10">
        <f>Data!O288</f>
        <v>2341</v>
      </c>
      <c r="L17" s="10">
        <f>Data!AB288</f>
        <v>29682</v>
      </c>
      <c r="M17" s="10">
        <f>Data!AO288</f>
        <v>71652</v>
      </c>
      <c r="N17" s="10">
        <f>Data!BB288</f>
        <v>88635</v>
      </c>
      <c r="O17" s="10">
        <f>Data!BO288</f>
        <v>103524</v>
      </c>
      <c r="P17" s="45">
        <f>SUM($K17:$O17)</f>
        <v>295834</v>
      </c>
      <c r="Q17" s="43"/>
      <c r="S17" s="4">
        <v>2021</v>
      </c>
      <c r="T17" s="49">
        <f>VLOOKUP('Tabel Bantuan'!$K$3,'Tabel Bantuan'!$J$11:$O$17,$I$11+1,FALSE)</f>
        <v>85353</v>
      </c>
      <c r="U17" s="49"/>
    </row>
    <row r="18" spans="1:21" x14ac:dyDescent="0.2">
      <c r="A18" s="5">
        <v>2022</v>
      </c>
      <c r="B18" s="10">
        <f>Data!AB5</f>
        <v>3296026</v>
      </c>
      <c r="C18" s="11">
        <f>Data!AB22</f>
        <v>1726836</v>
      </c>
      <c r="D18" s="11">
        <f>Data!AB30</f>
        <v>866169</v>
      </c>
      <c r="E18" s="29">
        <f t="shared" ref="E18:E22" si="1">SUM($B18:$D18)</f>
        <v>5889031</v>
      </c>
      <c r="F18" s="19"/>
      <c r="G18" s="19"/>
      <c r="H18" s="19"/>
      <c r="S18" s="4">
        <v>2022</v>
      </c>
      <c r="T18" s="49">
        <f>VLOOKUP('Tabel Bantuan'!$K$3,'Tabel Bantuan'!$J$11:$O$17,$I$11+2,FALSE)</f>
        <v>722608</v>
      </c>
      <c r="U18" s="49"/>
    </row>
    <row r="19" spans="1:21" x14ac:dyDescent="0.2">
      <c r="A19" s="5">
        <v>2023</v>
      </c>
      <c r="B19" s="10">
        <f>Data!AO5</f>
        <v>7972651</v>
      </c>
      <c r="C19" s="11">
        <f>Data!AO22</f>
        <v>2704377</v>
      </c>
      <c r="D19" s="11">
        <f>Data!AO30</f>
        <v>1000797</v>
      </c>
      <c r="E19" s="29">
        <f t="shared" si="1"/>
        <v>11677825</v>
      </c>
      <c r="F19" s="52" t="s">
        <v>335</v>
      </c>
      <c r="G19" s="53"/>
      <c r="H19" s="54"/>
      <c r="J19" s="43" t="s">
        <v>328</v>
      </c>
      <c r="K19" s="43"/>
      <c r="L19" s="43"/>
      <c r="M19" s="43"/>
      <c r="S19" s="4">
        <v>2023</v>
      </c>
      <c r="T19" s="49">
        <f>VLOOKUP('Tabel Bantuan'!$K$3,'Tabel Bantuan'!$J$11:$O$17,$I$11+3,FALSE)</f>
        <v>2254077</v>
      </c>
      <c r="U19" s="49"/>
    </row>
    <row r="20" spans="1:21" x14ac:dyDescent="0.2">
      <c r="A20" s="5">
        <v>2024</v>
      </c>
      <c r="B20" s="10">
        <f>Data!BB5</f>
        <v>9830550</v>
      </c>
      <c r="C20" s="11">
        <f>Data!BB22</f>
        <v>2774905</v>
      </c>
      <c r="D20" s="11">
        <f>Data!BB30</f>
        <v>1281223</v>
      </c>
      <c r="E20" s="29">
        <f t="shared" si="1"/>
        <v>13886678</v>
      </c>
      <c r="F20" s="5" t="s">
        <v>311</v>
      </c>
      <c r="G20" s="43">
        <f>B32</f>
        <v>2025</v>
      </c>
      <c r="H20" s="43"/>
      <c r="J20" s="43" t="str">
        <f>INDEX(Data!B45:B287,MATCH(MAX(Data!BP45:BP287),Data!BP45:BP287,0))</f>
        <v>Malaysia</v>
      </c>
      <c r="K20" s="43"/>
      <c r="L20" s="43"/>
      <c r="M20" s="43"/>
      <c r="S20" s="4">
        <v>2024</v>
      </c>
      <c r="T20" s="49">
        <f>VLOOKUP('Tabel Bantuan'!$K$3,'Tabel Bantuan'!$J$11:$O$17,$I$11+4,FALSE)</f>
        <v>3069060</v>
      </c>
      <c r="U20" s="49"/>
    </row>
    <row r="21" spans="1:21" x14ac:dyDescent="0.2">
      <c r="A21" s="5">
        <v>2025</v>
      </c>
      <c r="B21" s="10">
        <f>Data!BO5</f>
        <v>10819291</v>
      </c>
      <c r="C21" s="11">
        <f>Data!BO22</f>
        <v>3028847</v>
      </c>
      <c r="D21" s="11">
        <f>Data!BO30</f>
        <v>1538508</v>
      </c>
      <c r="E21" s="29">
        <f t="shared" si="1"/>
        <v>15386646</v>
      </c>
      <c r="S21" s="4">
        <v>2025</v>
      </c>
      <c r="T21" s="49">
        <f>VLOOKUP('Tabel Bantuan'!$K$3,'Tabel Bantuan'!$J$11:$O$17,$I$11+5,FALSE)</f>
        <v>3498891</v>
      </c>
      <c r="U21" s="49"/>
    </row>
    <row r="22" spans="1:21" x14ac:dyDescent="0.2">
      <c r="A22" s="5" t="s">
        <v>49</v>
      </c>
      <c r="B22" s="17">
        <f>SUM(B$17:B$21)</f>
        <v>32055760</v>
      </c>
      <c r="C22" s="17">
        <f t="shared" ref="C22:D22" si="2">SUM(C$17:C$21)</f>
        <v>10650437</v>
      </c>
      <c r="D22" s="17">
        <f t="shared" si="2"/>
        <v>5691513</v>
      </c>
      <c r="E22" s="29">
        <f t="shared" si="1"/>
        <v>48397710</v>
      </c>
      <c r="F22" s="5" t="s">
        <v>315</v>
      </c>
      <c r="G22" s="43" t="s">
        <v>330</v>
      </c>
      <c r="H22" s="43"/>
      <c r="J22" s="43" t="s">
        <v>329</v>
      </c>
      <c r="K22" s="43"/>
      <c r="L22" s="43"/>
      <c r="M22" s="43"/>
    </row>
    <row r="23" spans="1:21" x14ac:dyDescent="0.2">
      <c r="F23" s="5" t="s">
        <v>319</v>
      </c>
      <c r="G23" s="50">
        <f>HLOOKUP($B$32,$J$10:$O$17,2,FALSE)</f>
        <v>6356941</v>
      </c>
      <c r="H23" s="51"/>
      <c r="J23" s="45" t="str">
        <f>INDEX('Tabel Bantuan'!J11:J17,MATCH(MAX('Tabel Bantuan'!P11:P17),'Tabel Bantuan'!P11:P17,0))</f>
        <v>ASEAN</v>
      </c>
      <c r="K23" s="43"/>
      <c r="L23" s="43"/>
      <c r="M23" s="43"/>
      <c r="S23" s="43" t="s">
        <v>335</v>
      </c>
      <c r="T23" s="43"/>
      <c r="U23" s="43"/>
    </row>
    <row r="24" spans="1:21" x14ac:dyDescent="0.2">
      <c r="A24" s="15" t="s">
        <v>337</v>
      </c>
      <c r="B24" s="4" t="s">
        <v>311</v>
      </c>
      <c r="F24" s="5" t="s">
        <v>320</v>
      </c>
      <c r="G24" s="50">
        <f>HLOOKUP($B$32,$J$10:$O$17,3,FALSE)</f>
        <v>3498891</v>
      </c>
      <c r="H24" s="51"/>
      <c r="S24" s="45">
        <f>SUM('Tabel Bantuan'!T17:U21)</f>
        <v>9629989</v>
      </c>
      <c r="T24" s="43"/>
      <c r="U24" s="43"/>
    </row>
    <row r="25" spans="1:21" x14ac:dyDescent="0.2">
      <c r="A25" s="15">
        <v>1</v>
      </c>
      <c r="B25" s="4">
        <v>2021</v>
      </c>
      <c r="F25" s="5" t="s">
        <v>321</v>
      </c>
      <c r="G25" s="50">
        <f>HLOOKUP($B$32,$J$10:$O$17,4,FALSE)</f>
        <v>260098</v>
      </c>
      <c r="H25" s="51"/>
      <c r="J25" s="41" t="s">
        <v>334</v>
      </c>
      <c r="K25" s="41"/>
      <c r="L25" s="41"/>
    </row>
    <row r="26" spans="1:21" x14ac:dyDescent="0.2">
      <c r="A26" s="15">
        <v>2</v>
      </c>
      <c r="B26" s="4">
        <v>2022</v>
      </c>
      <c r="F26" s="5" t="s">
        <v>322</v>
      </c>
      <c r="G26" s="50">
        <f>HLOOKUP($B$32,$J$10:$O$17,5,FALSE)</f>
        <v>2456951</v>
      </c>
      <c r="H26" s="51"/>
      <c r="J26" s="18" t="s">
        <v>332</v>
      </c>
      <c r="K26" s="4" t="s">
        <v>333</v>
      </c>
    </row>
    <row r="27" spans="1:21" x14ac:dyDescent="0.2">
      <c r="A27" s="15">
        <v>3</v>
      </c>
      <c r="B27" s="4">
        <v>2023</v>
      </c>
      <c r="F27" s="5" t="s">
        <v>323</v>
      </c>
      <c r="G27" s="50">
        <f>HLOOKUP($B$32,$J$10:$O$17,6,FALSE)</f>
        <v>615801</v>
      </c>
      <c r="H27" s="51"/>
      <c r="J27" s="18" t="str" cm="1">
        <f t="array" ref="J27:J36">INDEX(Data!B45:B287,MATCH('Tabel Bantuan'!K27:K36,'Tabel Bantuan'!K27:K36,0))</f>
        <v>Malaysia</v>
      </c>
      <c r="K27" s="4" cm="1">
        <f t="array" ref="K27:K36">_xlfn.TAKE(_xlfn._xlws.SORT(Data!BP45:BP287,1,-1),10)</f>
        <v>8504844</v>
      </c>
    </row>
    <row r="28" spans="1:21" x14ac:dyDescent="0.2">
      <c r="A28" s="15">
        <v>4</v>
      </c>
      <c r="B28" s="4">
        <v>2024</v>
      </c>
      <c r="F28" s="5" t="s">
        <v>324</v>
      </c>
      <c r="G28" s="50">
        <f>HLOOKUP($B$32,$J$10:$O$17,7,FALSE)</f>
        <v>2094440</v>
      </c>
      <c r="H28" s="51"/>
      <c r="J28" s="18" t="str">
        <v>Singapore</v>
      </c>
      <c r="K28" s="4">
        <v>5515700</v>
      </c>
    </row>
    <row r="29" spans="1:21" x14ac:dyDescent="0.2">
      <c r="A29" s="15">
        <v>5</v>
      </c>
      <c r="B29" s="4">
        <v>2025</v>
      </c>
      <c r="F29" s="5" t="s">
        <v>325</v>
      </c>
      <c r="G29" s="50">
        <f>HLOOKUP($B$32,$J$10:$O$17,8,FALSE)</f>
        <v>103524</v>
      </c>
      <c r="H29" s="51"/>
      <c r="J29" s="18" t="str">
        <v>Timor Leste</v>
      </c>
      <c r="K29" s="4">
        <v>5101684</v>
      </c>
    </row>
    <row r="30" spans="1:21" x14ac:dyDescent="0.2">
      <c r="J30" s="18" t="str">
        <v>Indonesia</v>
      </c>
      <c r="K30" s="4">
        <v>4047181</v>
      </c>
    </row>
    <row r="31" spans="1:21" x14ac:dyDescent="0.2">
      <c r="A31" s="5" t="s">
        <v>298</v>
      </c>
      <c r="B31" s="9">
        <v>5</v>
      </c>
      <c r="F31" s="43" t="s">
        <v>342</v>
      </c>
      <c r="G31" s="43"/>
      <c r="H31" s="43"/>
      <c r="J31" s="18" t="str">
        <v>Philippines</v>
      </c>
      <c r="K31" s="4">
        <v>3553623</v>
      </c>
    </row>
    <row r="32" spans="1:21" x14ac:dyDescent="0.2">
      <c r="A32" s="5" t="s">
        <v>311</v>
      </c>
      <c r="B32" s="9">
        <f>VLOOKUP(B31,A25:B29,2,FALSE)</f>
        <v>2025</v>
      </c>
      <c r="F32" s="44" t="str">
        <f>INDEX(Data!B6:B36,MATCH(MAX(Data!BP6:BP36),Data!BP6:BP36,0))</f>
        <v>Ngurah Rai</v>
      </c>
      <c r="G32" s="44"/>
      <c r="H32" s="44"/>
      <c r="J32" s="18" t="str">
        <v>Thailand</v>
      </c>
      <c r="K32" s="4">
        <v>2339620</v>
      </c>
    </row>
    <row r="33" spans="1:11" x14ac:dyDescent="0.2">
      <c r="J33" s="18" t="str">
        <v>Vietnam</v>
      </c>
      <c r="K33" s="4">
        <v>1845963</v>
      </c>
    </row>
    <row r="34" spans="1:11" x14ac:dyDescent="0.2">
      <c r="F34" s="39" t="s">
        <v>341</v>
      </c>
      <c r="G34" s="39"/>
      <c r="H34" s="39"/>
      <c r="J34" s="18" t="str">
        <v>Myanmar/Burma</v>
      </c>
      <c r="K34" s="4">
        <v>1431034</v>
      </c>
    </row>
    <row r="35" spans="1:11" x14ac:dyDescent="0.2">
      <c r="F35" s="39" t="str">
        <f>INDEX('Tabel Bantuan'!F14:F16, MATCH(MAX('Tabel Bantuan'!G14:G16), 'Tabel Bantuan'!G14:G16, 0))</f>
        <v>Pintu Udara</v>
      </c>
      <c r="G35" s="39"/>
      <c r="H35" s="39"/>
      <c r="J35" s="18" t="str">
        <v>Brunei Darussalam</v>
      </c>
      <c r="K35" s="4">
        <v>1411740</v>
      </c>
    </row>
    <row r="36" spans="1:11" x14ac:dyDescent="0.2">
      <c r="F36" s="39"/>
      <c r="G36" s="39"/>
      <c r="H36" s="39"/>
      <c r="J36" s="18" t="str">
        <v>Kamboja</v>
      </c>
      <c r="K36" s="4">
        <v>1315975</v>
      </c>
    </row>
    <row r="46" spans="1:11" x14ac:dyDescent="0.2">
      <c r="A46" s="41" t="s">
        <v>344</v>
      </c>
      <c r="B46" s="41"/>
      <c r="C46" s="41"/>
    </row>
    <row r="47" spans="1:11" x14ac:dyDescent="0.2">
      <c r="A47">
        <f>B32</f>
        <v>2025</v>
      </c>
      <c r="B47" s="39">
        <f>VLOOKUP(B32,A17:E21,5,FALSE)</f>
        <v>15386646</v>
      </c>
      <c r="C47" s="39"/>
    </row>
    <row r="48" spans="1:11" x14ac:dyDescent="0.2">
      <c r="A48">
        <f>A47-1</f>
        <v>2024</v>
      </c>
      <c r="B48" s="39">
        <f>VLOOKUP((B32-1),A17:E21,5,FALSE)</f>
        <v>13886678</v>
      </c>
      <c r="C48" s="39"/>
    </row>
    <row r="49" spans="1:3" x14ac:dyDescent="0.2">
      <c r="A49" s="39" t="s">
        <v>347</v>
      </c>
      <c r="B49" s="39">
        <f>('Tabel Bantuan'!B47-'Tabel Bantuan'!B48)/'Tabel Bantuan'!B48</f>
        <v>0.10801489024228833</v>
      </c>
      <c r="C49" s="39"/>
    </row>
    <row r="50" spans="1:3" x14ac:dyDescent="0.2">
      <c r="A50" s="39"/>
      <c r="B50" s="39" t="str">
        <f>IF('Tabel Bantuan'!B49&gt;0, "Naik " &amp; TEXT('Tabel Bantuan'!B49, "0,0%"), IF('Tabel Bantuan'!B49&lt;0, "Turun " &amp; TEXT(ABS('Tabel Bantuan'!B49), "0,0%"), "Tetap"))</f>
        <v>Naik 10,8%</v>
      </c>
      <c r="C50" s="39"/>
    </row>
  </sheetData>
  <mergeCells count="68">
    <mergeCell ref="F31:H31"/>
    <mergeCell ref="F32:H32"/>
    <mergeCell ref="G25:H25"/>
    <mergeCell ref="G26:H26"/>
    <mergeCell ref="G27:H27"/>
    <mergeCell ref="G28:H28"/>
    <mergeCell ref="G29:H29"/>
    <mergeCell ref="G23:H23"/>
    <mergeCell ref="G24:H24"/>
    <mergeCell ref="T20:U20"/>
    <mergeCell ref="T21:U21"/>
    <mergeCell ref="T14:U14"/>
    <mergeCell ref="S23:U23"/>
    <mergeCell ref="S24:U24"/>
    <mergeCell ref="P17:Q17"/>
    <mergeCell ref="G17:H17"/>
    <mergeCell ref="F19:H19"/>
    <mergeCell ref="G16:H16"/>
    <mergeCell ref="G20:H20"/>
    <mergeCell ref="G22:H22"/>
    <mergeCell ref="P8:Q10"/>
    <mergeCell ref="P11:Q11"/>
    <mergeCell ref="P12:Q12"/>
    <mergeCell ref="P13:Q13"/>
    <mergeCell ref="P14:Q14"/>
    <mergeCell ref="J25:L25"/>
    <mergeCell ref="S13:U13"/>
    <mergeCell ref="T16:U16"/>
    <mergeCell ref="T17:U17"/>
    <mergeCell ref="T18:U18"/>
    <mergeCell ref="T19:U19"/>
    <mergeCell ref="J23:M23"/>
    <mergeCell ref="P15:Q15"/>
    <mergeCell ref="P16:Q16"/>
    <mergeCell ref="J8:O9"/>
    <mergeCell ref="J19:M19"/>
    <mergeCell ref="J20:M20"/>
    <mergeCell ref="J22:M22"/>
    <mergeCell ref="A14:D15"/>
    <mergeCell ref="B9:D9"/>
    <mergeCell ref="B8:D8"/>
    <mergeCell ref="B10:D10"/>
    <mergeCell ref="B11:D11"/>
    <mergeCell ref="B12:D12"/>
    <mergeCell ref="F9:H10"/>
    <mergeCell ref="G11:H11"/>
    <mergeCell ref="G13:H13"/>
    <mergeCell ref="G14:H14"/>
    <mergeCell ref="G15:H15"/>
    <mergeCell ref="A6:D7"/>
    <mergeCell ref="J1:Q1"/>
    <mergeCell ref="F3:G3"/>
    <mergeCell ref="F4:G4"/>
    <mergeCell ref="M3:N3"/>
    <mergeCell ref="M4:N4"/>
    <mergeCell ref="P3:Q3"/>
    <mergeCell ref="P4:Q4"/>
    <mergeCell ref="A1:H1"/>
    <mergeCell ref="F6:H6"/>
    <mergeCell ref="F7:H7"/>
    <mergeCell ref="B49:C49"/>
    <mergeCell ref="B50:C50"/>
    <mergeCell ref="A49:A50"/>
    <mergeCell ref="F34:H34"/>
    <mergeCell ref="F35:H36"/>
    <mergeCell ref="A46:C46"/>
    <mergeCell ref="B47:C47"/>
    <mergeCell ref="B48:C48"/>
  </mergeCells>
  <pageMargins left="0.7" right="0.7" top="0.75" bottom="0.75" header="0.3" footer="0.3"/>
  <pageSetup paperSize="9"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2052" r:id="rId3" name="List Box 4">
              <controlPr defaultSize="0" autoLine="0" autoPict="0">
                <anchor moveWithCells="1">
                  <from>
                    <xdr:col>18</xdr:col>
                    <xdr:colOff>88900</xdr:colOff>
                    <xdr:row>2</xdr:row>
                    <xdr:rowOff>190500</xdr:rowOff>
                  </from>
                  <to>
                    <xdr:col>20</xdr:col>
                    <xdr:colOff>723900</xdr:colOff>
                    <xdr:row>10</xdr:row>
                    <xdr:rowOff>63500</xdr:rowOff>
                  </to>
                </anchor>
              </controlPr>
            </control>
          </mc:Choice>
        </mc:AlternateContent>
        <mc:AlternateContent xmlns:mc="http://schemas.openxmlformats.org/markup-compatibility/2006">
          <mc:Choice Requires="x14">
            <control shapeId="2053" r:id="rId4" name="List Box 5">
              <controlPr defaultSize="0" autoLine="0" autoPict="0">
                <anchor moveWithCells="1">
                  <from>
                    <xdr:col>2</xdr:col>
                    <xdr:colOff>406400</xdr:colOff>
                    <xdr:row>23</xdr:row>
                    <xdr:rowOff>0</xdr:rowOff>
                  </from>
                  <to>
                    <xdr:col>3</xdr:col>
                    <xdr:colOff>558800</xdr:colOff>
                    <xdr:row>28</xdr:row>
                    <xdr:rowOff>127000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35F0-59F0-0D4E-9F8C-97A6AB7A57C5}">
  <dimension ref="A1:M38"/>
  <sheetViews>
    <sheetView showGridLines="0" tabSelected="1" view="pageBreakPreview" zoomScale="129" zoomScaleNormal="140" zoomScaleSheetLayoutView="177" workbookViewId="0">
      <selection activeCell="M5" sqref="M5"/>
    </sheetView>
  </sheetViews>
  <sheetFormatPr baseColWidth="10" defaultRowHeight="16" x14ac:dyDescent="0.2"/>
  <cols>
    <col min="1" max="1" width="3.33203125" customWidth="1"/>
    <col min="2" max="2" width="11" customWidth="1"/>
    <col min="3" max="3" width="9.6640625" customWidth="1"/>
    <col min="4" max="4" width="11" customWidth="1"/>
    <col min="5" max="5" width="8.5" customWidth="1"/>
    <col min="6" max="6" width="8.33203125" customWidth="1"/>
    <col min="7" max="7" width="9.33203125" customWidth="1"/>
    <col min="8" max="8" width="2.83203125" customWidth="1"/>
    <col min="9" max="9" width="9.83203125" customWidth="1"/>
    <col min="10" max="10" width="10.33203125" customWidth="1"/>
    <col min="11" max="11" width="11" customWidth="1"/>
    <col min="12" max="12" width="2.6640625" customWidth="1"/>
  </cols>
  <sheetData>
    <row r="1" spans="1:13" x14ac:dyDescent="0.2">
      <c r="A1" s="31"/>
      <c r="B1" s="31"/>
      <c r="C1" s="31"/>
      <c r="D1" s="31"/>
      <c r="E1" s="31"/>
      <c r="F1" s="31"/>
      <c r="G1" s="31"/>
      <c r="H1" s="31"/>
      <c r="I1" s="31"/>
      <c r="J1" s="31"/>
      <c r="K1" s="31"/>
      <c r="L1" s="31"/>
    </row>
    <row r="2" spans="1:13" ht="16" customHeight="1" x14ac:dyDescent="0.2">
      <c r="A2" s="31"/>
      <c r="B2" s="63" t="s">
        <v>326</v>
      </c>
      <c r="C2" s="63"/>
      <c r="D2" s="63"/>
      <c r="E2" s="63"/>
      <c r="F2" s="63"/>
      <c r="G2" s="63"/>
      <c r="H2" s="63"/>
      <c r="I2" s="63"/>
      <c r="J2" s="63"/>
      <c r="K2" s="63"/>
      <c r="L2" s="32"/>
    </row>
    <row r="3" spans="1:13" ht="16" customHeight="1" x14ac:dyDescent="0.2">
      <c r="A3" s="31"/>
      <c r="B3" s="63"/>
      <c r="C3" s="63"/>
      <c r="D3" s="63"/>
      <c r="E3" s="63"/>
      <c r="F3" s="63"/>
      <c r="G3" s="63"/>
      <c r="H3" s="63"/>
      <c r="I3" s="63"/>
      <c r="J3" s="63"/>
      <c r="K3" s="63"/>
      <c r="L3" s="32"/>
    </row>
    <row r="4" spans="1:13" ht="16" customHeight="1" x14ac:dyDescent="0.2">
      <c r="A4" s="31"/>
      <c r="B4" s="63"/>
      <c r="C4" s="63"/>
      <c r="D4" s="63"/>
      <c r="E4" s="63"/>
      <c r="F4" s="63"/>
      <c r="G4" s="63"/>
      <c r="H4" s="63"/>
      <c r="I4" s="63"/>
      <c r="J4" s="63"/>
      <c r="K4" s="63"/>
      <c r="L4" s="32"/>
    </row>
    <row r="5" spans="1:13" ht="28" customHeight="1" x14ac:dyDescent="0.2">
      <c r="A5" s="31"/>
      <c r="B5" s="21"/>
      <c r="C5" s="21"/>
      <c r="D5" s="21"/>
      <c r="E5" s="21"/>
      <c r="F5" s="21"/>
      <c r="G5" s="21"/>
      <c r="H5" s="21"/>
      <c r="I5" s="64" t="s">
        <v>348</v>
      </c>
      <c r="J5" s="64"/>
      <c r="K5" s="64"/>
      <c r="L5" s="31"/>
    </row>
    <row r="6" spans="1:13" x14ac:dyDescent="0.2">
      <c r="A6" s="31"/>
      <c r="B6" s="21"/>
      <c r="C6" s="21"/>
      <c r="D6" s="21"/>
      <c r="E6" s="21"/>
      <c r="F6" s="21"/>
      <c r="G6" s="21"/>
      <c r="H6" s="21"/>
      <c r="I6" s="65">
        <f>COUNTA(Data!B45:B288)-COUNTA(J11:J17)</f>
        <v>244</v>
      </c>
      <c r="J6" s="65"/>
      <c r="K6" s="65"/>
      <c r="L6" s="31"/>
    </row>
    <row r="7" spans="1:13" ht="20" customHeight="1" x14ac:dyDescent="0.2">
      <c r="A7" s="31"/>
      <c r="B7" s="21"/>
      <c r="C7" s="21"/>
      <c r="D7" s="21"/>
      <c r="E7" s="21"/>
      <c r="F7" s="21"/>
      <c r="G7" s="21"/>
      <c r="H7" s="21"/>
      <c r="I7" s="65"/>
      <c r="J7" s="65"/>
      <c r="K7" s="65"/>
      <c r="L7" s="31"/>
    </row>
    <row r="8" spans="1:13" ht="11" customHeight="1" x14ac:dyDescent="0.2">
      <c r="A8" s="31"/>
      <c r="B8" s="21"/>
      <c r="C8" s="21"/>
      <c r="D8" s="21"/>
      <c r="E8" s="21"/>
      <c r="F8" s="21"/>
      <c r="G8" s="21"/>
      <c r="H8" s="21"/>
      <c r="I8" s="34"/>
      <c r="J8" s="34"/>
      <c r="K8" s="34"/>
      <c r="L8" s="31"/>
    </row>
    <row r="9" spans="1:13" ht="28" customHeight="1" x14ac:dyDescent="0.2">
      <c r="A9" s="31"/>
      <c r="B9" s="21"/>
      <c r="C9" s="21"/>
      <c r="D9" s="21"/>
      <c r="E9" s="21"/>
      <c r="F9" s="21"/>
      <c r="G9" s="21"/>
      <c r="H9" s="21"/>
      <c r="I9" s="66" t="s">
        <v>345</v>
      </c>
      <c r="J9" s="66"/>
      <c r="K9" s="66"/>
      <c r="L9" s="31"/>
    </row>
    <row r="10" spans="1:13" ht="23" customHeight="1" x14ac:dyDescent="0.2">
      <c r="A10" s="31"/>
      <c r="B10" s="21"/>
      <c r="C10" s="21"/>
      <c r="D10" s="21"/>
      <c r="E10" s="21"/>
      <c r="F10" s="21"/>
      <c r="G10" s="21"/>
      <c r="H10" s="21"/>
      <c r="I10" s="60">
        <f>SUM(Data!O289,Data!AB289,Data!AO289,Data!BB289,Data!BO289)</f>
        <v>48397710</v>
      </c>
      <c r="J10" s="60"/>
      <c r="K10" s="60"/>
      <c r="L10" s="31"/>
    </row>
    <row r="11" spans="1:13" x14ac:dyDescent="0.2">
      <c r="A11" s="31"/>
      <c r="B11" s="21"/>
      <c r="C11" s="21"/>
      <c r="D11" s="21"/>
      <c r="E11" s="21"/>
      <c r="F11" s="21"/>
      <c r="G11" s="21"/>
      <c r="H11" s="21"/>
      <c r="I11" s="60"/>
      <c r="J11" s="60"/>
      <c r="K11" s="60"/>
      <c r="L11" s="31"/>
    </row>
    <row r="12" spans="1:13" ht="13" customHeight="1" x14ac:dyDescent="0.2">
      <c r="A12" s="31"/>
      <c r="B12" s="21"/>
      <c r="C12" s="21"/>
      <c r="D12" s="21"/>
      <c r="E12" s="21"/>
      <c r="F12" s="21"/>
      <c r="G12" s="21"/>
      <c r="H12" s="21"/>
      <c r="I12" s="35"/>
      <c r="J12" s="35"/>
      <c r="K12" s="35"/>
      <c r="L12" s="31"/>
      <c r="M12" s="30"/>
    </row>
    <row r="13" spans="1:13" ht="16" customHeight="1" x14ac:dyDescent="0.2">
      <c r="A13" s="31"/>
      <c r="B13" s="21"/>
      <c r="C13" s="21"/>
      <c r="D13" s="21"/>
      <c r="E13" s="21"/>
      <c r="F13" s="21"/>
      <c r="G13" s="21"/>
      <c r="H13" s="21"/>
      <c r="I13" s="61" t="s">
        <v>339</v>
      </c>
      <c r="J13" s="61"/>
      <c r="K13" s="61"/>
      <c r="L13" s="31"/>
    </row>
    <row r="14" spans="1:13" ht="16" customHeight="1" x14ac:dyDescent="0.2">
      <c r="A14" s="31"/>
      <c r="B14" s="21"/>
      <c r="C14" s="21"/>
      <c r="D14" s="21"/>
      <c r="E14" s="21"/>
      <c r="F14" s="21"/>
      <c r="G14" s="21"/>
      <c r="H14" s="21"/>
      <c r="I14" s="61"/>
      <c r="J14" s="61"/>
      <c r="K14" s="61"/>
      <c r="L14" s="31"/>
    </row>
    <row r="15" spans="1:13" ht="23" customHeight="1" x14ac:dyDescent="0.2">
      <c r="A15" s="31"/>
      <c r="B15" s="21"/>
      <c r="C15" s="21"/>
      <c r="D15" s="21"/>
      <c r="E15" s="21"/>
      <c r="F15" s="21"/>
      <c r="G15" s="21"/>
      <c r="H15" s="21"/>
      <c r="I15" s="60" t="str">
        <f>INDEX(Data!B6:B36,MATCH(MAX(Data!BP6:BP36),Data!BP6:BP36,0))</f>
        <v>Ngurah Rai</v>
      </c>
      <c r="J15" s="60"/>
      <c r="K15" s="60"/>
      <c r="L15" s="31"/>
    </row>
    <row r="16" spans="1:13" ht="16" customHeight="1" x14ac:dyDescent="0.2">
      <c r="A16" s="31"/>
      <c r="B16" s="21"/>
      <c r="C16" s="21"/>
      <c r="D16" s="21"/>
      <c r="E16" s="21"/>
      <c r="F16" s="21"/>
      <c r="G16" s="21"/>
      <c r="H16" s="21"/>
      <c r="I16" s="60"/>
      <c r="J16" s="60"/>
      <c r="K16" s="60"/>
      <c r="L16" s="31"/>
    </row>
    <row r="17" spans="1:12" ht="16" customHeight="1" x14ac:dyDescent="0.2">
      <c r="A17" s="31"/>
      <c r="B17" s="62" t="s">
        <v>340</v>
      </c>
      <c r="C17" s="62"/>
      <c r="D17" s="62"/>
      <c r="E17" s="62"/>
      <c r="F17" s="62"/>
      <c r="G17" s="62"/>
      <c r="H17" s="62"/>
      <c r="I17" s="62"/>
      <c r="J17" s="62"/>
      <c r="K17" s="62"/>
      <c r="L17" s="31"/>
    </row>
    <row r="18" spans="1:12" ht="16" customHeight="1" x14ac:dyDescent="0.2">
      <c r="A18" s="31"/>
      <c r="B18" s="62"/>
      <c r="C18" s="62"/>
      <c r="D18" s="62"/>
      <c r="E18" s="62"/>
      <c r="F18" s="62"/>
      <c r="G18" s="62"/>
      <c r="H18" s="62"/>
      <c r="I18" s="62"/>
      <c r="J18" s="62"/>
      <c r="K18" s="62"/>
      <c r="L18" s="31"/>
    </row>
    <row r="19" spans="1:12" ht="24" customHeight="1" x14ac:dyDescent="0.2">
      <c r="A19" s="31"/>
      <c r="B19" s="26"/>
      <c r="C19" s="26"/>
      <c r="D19" s="26"/>
      <c r="E19" s="26"/>
      <c r="F19" s="26"/>
      <c r="G19" s="26"/>
      <c r="H19" s="26"/>
      <c r="I19" s="26"/>
      <c r="J19" s="56" t="s">
        <v>346</v>
      </c>
      <c r="K19" s="56"/>
      <c r="L19" s="31"/>
    </row>
    <row r="20" spans="1:12" ht="11" customHeight="1" x14ac:dyDescent="0.2">
      <c r="A20" s="31"/>
      <c r="B20" s="22"/>
      <c r="C20" s="22"/>
      <c r="D20" s="22"/>
      <c r="E20" s="22"/>
      <c r="F20" s="22"/>
      <c r="G20" s="21"/>
      <c r="H20" s="21"/>
      <c r="I20" s="21"/>
      <c r="J20" s="57"/>
      <c r="K20" s="57"/>
      <c r="L20" s="31"/>
    </row>
    <row r="21" spans="1:12" ht="16" customHeight="1" x14ac:dyDescent="0.2">
      <c r="A21" s="31"/>
      <c r="B21" s="22"/>
      <c r="C21" s="22"/>
      <c r="D21" s="22"/>
      <c r="E21" s="22"/>
      <c r="F21" s="22"/>
      <c r="G21" s="21"/>
      <c r="H21" s="21"/>
      <c r="I21" s="21"/>
      <c r="J21" s="58">
        <f>SUM('Tabel Bantuan'!G14:H16)</f>
        <v>15386646</v>
      </c>
      <c r="K21" s="59"/>
      <c r="L21" s="31"/>
    </row>
    <row r="22" spans="1:12" ht="16" customHeight="1" x14ac:dyDescent="0.2">
      <c r="A22" s="31"/>
      <c r="B22" s="23"/>
      <c r="C22" s="22"/>
      <c r="D22" s="22"/>
      <c r="E22" s="22"/>
      <c r="F22" s="22"/>
      <c r="G22" s="22"/>
      <c r="H22" s="22"/>
      <c r="I22" s="22"/>
      <c r="J22" s="59"/>
      <c r="K22" s="59"/>
      <c r="L22" s="31"/>
    </row>
    <row r="23" spans="1:12" x14ac:dyDescent="0.2">
      <c r="A23" s="31"/>
      <c r="B23" s="22"/>
      <c r="C23" s="22"/>
      <c r="D23" s="22"/>
      <c r="E23" s="22"/>
      <c r="F23" s="22"/>
      <c r="G23" s="22"/>
      <c r="H23" s="22"/>
      <c r="I23" s="22"/>
      <c r="J23" s="59"/>
      <c r="K23" s="59"/>
      <c r="L23" s="31"/>
    </row>
    <row r="24" spans="1:12" ht="13" customHeight="1" x14ac:dyDescent="0.2">
      <c r="A24" s="31"/>
      <c r="J24" s="31"/>
      <c r="K24" s="31"/>
      <c r="L24" s="31"/>
    </row>
    <row r="25" spans="1:12" ht="18" customHeight="1" x14ac:dyDescent="0.2">
      <c r="A25" s="31"/>
      <c r="J25" s="67" t="s">
        <v>343</v>
      </c>
      <c r="K25" s="67"/>
      <c r="L25" s="31"/>
    </row>
    <row r="26" spans="1:12" ht="16" customHeight="1" x14ac:dyDescent="0.2">
      <c r="A26" s="31"/>
      <c r="J26" s="67"/>
      <c r="K26" s="67"/>
      <c r="L26" s="31"/>
    </row>
    <row r="27" spans="1:12" ht="16" customHeight="1" x14ac:dyDescent="0.2">
      <c r="A27" s="31"/>
      <c r="J27" s="55" t="str">
        <f>IF('Tabel Bantuan'!B49&gt;0, "Naik " &amp; TEXT('Tabel Bantuan'!B49, "0,0%"), IF('Tabel Bantuan'!B49&lt;0, "Turun " &amp; TEXT(ABS('Tabel Bantuan'!B49), "0,0%"), "Tetap"))</f>
        <v>Naik 10,8%</v>
      </c>
      <c r="K27" s="55"/>
      <c r="L27" s="31"/>
    </row>
    <row r="28" spans="1:12" ht="16" customHeight="1" x14ac:dyDescent="0.2">
      <c r="A28" s="31"/>
      <c r="J28" s="55"/>
      <c r="K28" s="55"/>
      <c r="L28" s="31"/>
    </row>
    <row r="29" spans="1:12" ht="16" customHeight="1" x14ac:dyDescent="0.2">
      <c r="A29" s="31"/>
      <c r="J29" s="55"/>
      <c r="K29" s="55"/>
      <c r="L29" s="31"/>
    </row>
    <row r="30" spans="1:12" x14ac:dyDescent="0.2">
      <c r="A30" s="31"/>
      <c r="J30" s="55"/>
      <c r="K30" s="55"/>
      <c r="L30" s="31"/>
    </row>
    <row r="31" spans="1:12" ht="16" customHeight="1" x14ac:dyDescent="0.2">
      <c r="A31" s="31"/>
      <c r="B31" s="33"/>
      <c r="C31" s="33"/>
      <c r="D31" s="33"/>
      <c r="E31" s="31"/>
      <c r="F31" s="31"/>
      <c r="G31" s="31"/>
      <c r="H31" s="31"/>
      <c r="I31" s="31"/>
      <c r="J31" s="31"/>
      <c r="K31" s="31"/>
      <c r="L31" s="31"/>
    </row>
    <row r="32" spans="1:12" ht="16" customHeight="1" x14ac:dyDescent="0.2">
      <c r="B32" s="27"/>
      <c r="C32" s="28"/>
      <c r="D32" s="28"/>
    </row>
    <row r="33" spans="2:4" ht="16" customHeight="1" x14ac:dyDescent="0.2">
      <c r="B33" s="28"/>
      <c r="C33" s="28"/>
      <c r="D33" s="28"/>
    </row>
    <row r="34" spans="2:4" x14ac:dyDescent="0.2">
      <c r="B34" s="24"/>
      <c r="C34" s="24"/>
      <c r="D34" s="24"/>
    </row>
    <row r="35" spans="2:4" ht="16" customHeight="1" x14ac:dyDescent="0.2">
      <c r="B35" s="25"/>
      <c r="C35" s="25"/>
      <c r="D35" s="25"/>
    </row>
    <row r="36" spans="2:4" ht="16" customHeight="1" x14ac:dyDescent="0.2">
      <c r="B36" s="25"/>
      <c r="C36" s="25"/>
      <c r="D36" s="25"/>
    </row>
    <row r="37" spans="2:4" ht="16" customHeight="1" x14ac:dyDescent="0.2">
      <c r="B37" s="25"/>
      <c r="C37" s="25"/>
      <c r="D37" s="25"/>
    </row>
    <row r="38" spans="2:4" x14ac:dyDescent="0.2">
      <c r="B38" s="24"/>
      <c r="C38" s="24"/>
      <c r="D38" s="24"/>
    </row>
  </sheetData>
  <mergeCells count="12">
    <mergeCell ref="B2:K4"/>
    <mergeCell ref="I5:K5"/>
    <mergeCell ref="I6:K7"/>
    <mergeCell ref="I9:K9"/>
    <mergeCell ref="J25:K26"/>
    <mergeCell ref="J27:K30"/>
    <mergeCell ref="J19:K20"/>
    <mergeCell ref="J21:K23"/>
    <mergeCell ref="I10:K11"/>
    <mergeCell ref="I13:K14"/>
    <mergeCell ref="I15:K16"/>
    <mergeCell ref="B17:K18"/>
  </mergeCells>
  <pageMargins left="0.7" right="0.7" top="0.75" bottom="0.75" header="0.3" footer="0.3"/>
  <pageSetup paperSize="9" scale="84"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1026" r:id="rId3" name="List Box 2">
              <controlPr defaultSize="0" autoLine="0" autoPict="0">
                <anchor moveWithCells="1">
                  <from>
                    <xdr:col>1</xdr:col>
                    <xdr:colOff>0</xdr:colOff>
                    <xdr:row>18</xdr:row>
                    <xdr:rowOff>12700</xdr:rowOff>
                  </from>
                  <to>
                    <xdr:col>3</xdr:col>
                    <xdr:colOff>190500</xdr:colOff>
                    <xdr:row>22</xdr:row>
                    <xdr:rowOff>203200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DA86-10B0-954A-8ED5-11EF4F79297B}">
  <dimension ref="A1:P82"/>
  <sheetViews>
    <sheetView topLeftCell="A41" zoomScale="108" zoomScaleNormal="114" workbookViewId="0">
      <selection activeCell="Q51" sqref="Q51"/>
    </sheetView>
  </sheetViews>
  <sheetFormatPr baseColWidth="10" defaultRowHeight="16" x14ac:dyDescent="0.2"/>
  <sheetData>
    <row r="1" spans="1:16" ht="44" customHeight="1" x14ac:dyDescent="0.2">
      <c r="A1" s="37" t="s">
        <v>326</v>
      </c>
      <c r="B1" s="37"/>
      <c r="C1" s="37"/>
      <c r="D1" s="37"/>
      <c r="E1" s="37"/>
      <c r="F1" s="37"/>
      <c r="G1" s="37"/>
      <c r="H1" s="37"/>
      <c r="I1" s="37"/>
      <c r="J1" s="37"/>
      <c r="K1" s="37"/>
      <c r="L1" s="37"/>
      <c r="M1" s="37"/>
      <c r="N1" s="37"/>
    </row>
    <row r="2" spans="1:16" ht="16" customHeight="1" x14ac:dyDescent="0.2">
      <c r="A2" s="38" t="s">
        <v>349</v>
      </c>
      <c r="B2" s="38"/>
      <c r="C2" s="38"/>
      <c r="D2" s="38"/>
      <c r="E2" s="38"/>
      <c r="F2" s="38"/>
      <c r="G2" s="38"/>
      <c r="H2" s="38"/>
      <c r="I2" s="38"/>
      <c r="J2" s="38"/>
      <c r="K2" s="38"/>
      <c r="L2" s="38"/>
      <c r="M2" s="38"/>
      <c r="N2" s="38"/>
      <c r="O2" s="36"/>
      <c r="P2" s="36"/>
    </row>
    <row r="3" spans="1:16" x14ac:dyDescent="0.2">
      <c r="A3" s="38"/>
      <c r="B3" s="38"/>
      <c r="C3" s="38"/>
      <c r="D3" s="38"/>
      <c r="E3" s="38"/>
      <c r="F3" s="38"/>
      <c r="G3" s="38"/>
      <c r="H3" s="38"/>
      <c r="I3" s="38"/>
      <c r="J3" s="38"/>
      <c r="K3" s="38"/>
      <c r="L3" s="38"/>
      <c r="M3" s="38"/>
      <c r="N3" s="38"/>
      <c r="O3" s="36"/>
      <c r="P3" s="36"/>
    </row>
    <row r="4" spans="1:16" x14ac:dyDescent="0.2">
      <c r="A4" s="38"/>
      <c r="B4" s="38"/>
      <c r="C4" s="38"/>
      <c r="D4" s="38"/>
      <c r="E4" s="38"/>
      <c r="F4" s="38"/>
      <c r="G4" s="38"/>
      <c r="H4" s="38"/>
      <c r="I4" s="38"/>
      <c r="J4" s="38"/>
      <c r="K4" s="38"/>
      <c r="L4" s="38"/>
      <c r="M4" s="38"/>
      <c r="N4" s="38"/>
      <c r="O4" s="36"/>
      <c r="P4" s="36"/>
    </row>
    <row r="5" spans="1:16" x14ac:dyDescent="0.2">
      <c r="A5" s="38"/>
      <c r="B5" s="38"/>
      <c r="C5" s="38"/>
      <c r="D5" s="38"/>
      <c r="E5" s="38"/>
      <c r="F5" s="38"/>
      <c r="G5" s="38"/>
      <c r="H5" s="38"/>
      <c r="I5" s="38"/>
      <c r="J5" s="38"/>
      <c r="K5" s="38"/>
      <c r="L5" s="38"/>
      <c r="M5" s="38"/>
      <c r="N5" s="38"/>
      <c r="O5" s="36"/>
      <c r="P5" s="36"/>
    </row>
    <row r="6" spans="1:16" x14ac:dyDescent="0.2">
      <c r="A6" s="38"/>
      <c r="B6" s="38"/>
      <c r="C6" s="38"/>
      <c r="D6" s="38"/>
      <c r="E6" s="38"/>
      <c r="F6" s="38"/>
      <c r="G6" s="38"/>
      <c r="H6" s="38"/>
      <c r="I6" s="38"/>
      <c r="J6" s="38"/>
      <c r="K6" s="38"/>
      <c r="L6" s="38"/>
      <c r="M6" s="38"/>
      <c r="N6" s="38"/>
      <c r="O6" s="36"/>
      <c r="P6" s="36"/>
    </row>
    <row r="7" spans="1:16" x14ac:dyDescent="0.2">
      <c r="A7" s="38"/>
      <c r="B7" s="38"/>
      <c r="C7" s="38"/>
      <c r="D7" s="38"/>
      <c r="E7" s="38"/>
      <c r="F7" s="38"/>
      <c r="G7" s="38"/>
      <c r="H7" s="38"/>
      <c r="I7" s="38"/>
      <c r="J7" s="38"/>
      <c r="K7" s="38"/>
      <c r="L7" s="38"/>
      <c r="M7" s="38"/>
      <c r="N7" s="38"/>
      <c r="O7" s="36"/>
      <c r="P7" s="36"/>
    </row>
    <row r="8" spans="1:16" x14ac:dyDescent="0.2">
      <c r="A8" s="38"/>
      <c r="B8" s="38"/>
      <c r="C8" s="38"/>
      <c r="D8" s="38"/>
      <c r="E8" s="38"/>
      <c r="F8" s="38"/>
      <c r="G8" s="38"/>
      <c r="H8" s="38"/>
      <c r="I8" s="38"/>
      <c r="J8" s="38"/>
      <c r="K8" s="38"/>
      <c r="L8" s="38"/>
      <c r="M8" s="38"/>
      <c r="N8" s="38"/>
      <c r="O8" s="36"/>
      <c r="P8" s="36"/>
    </row>
    <row r="9" spans="1:16" x14ac:dyDescent="0.2">
      <c r="A9" s="38"/>
      <c r="B9" s="38"/>
      <c r="C9" s="38"/>
      <c r="D9" s="38"/>
      <c r="E9" s="38"/>
      <c r="F9" s="38"/>
      <c r="G9" s="38"/>
      <c r="H9" s="38"/>
      <c r="I9" s="38"/>
      <c r="J9" s="38"/>
      <c r="K9" s="38"/>
      <c r="L9" s="38"/>
      <c r="M9" s="38"/>
      <c r="N9" s="38"/>
      <c r="O9" s="36"/>
      <c r="P9" s="36"/>
    </row>
    <row r="10" spans="1:16" x14ac:dyDescent="0.2">
      <c r="A10" s="38"/>
      <c r="B10" s="38"/>
      <c r="C10" s="38"/>
      <c r="D10" s="38"/>
      <c r="E10" s="38"/>
      <c r="F10" s="38"/>
      <c r="G10" s="38"/>
      <c r="H10" s="38"/>
      <c r="I10" s="38"/>
      <c r="J10" s="38"/>
      <c r="K10" s="38"/>
      <c r="L10" s="38"/>
      <c r="M10" s="38"/>
      <c r="N10" s="38"/>
      <c r="O10" s="36"/>
      <c r="P10" s="36"/>
    </row>
    <row r="11" spans="1:16" x14ac:dyDescent="0.2">
      <c r="A11" s="38"/>
      <c r="B11" s="38"/>
      <c r="C11" s="38"/>
      <c r="D11" s="38"/>
      <c r="E11" s="38"/>
      <c r="F11" s="38"/>
      <c r="G11" s="38"/>
      <c r="H11" s="38"/>
      <c r="I11" s="38"/>
      <c r="J11" s="38"/>
      <c r="K11" s="38"/>
      <c r="L11" s="38"/>
      <c r="M11" s="38"/>
      <c r="N11" s="38"/>
      <c r="O11" s="36"/>
      <c r="P11" s="36"/>
    </row>
    <row r="12" spans="1:16" x14ac:dyDescent="0.2">
      <c r="A12" s="38"/>
      <c r="B12" s="38"/>
      <c r="C12" s="38"/>
      <c r="D12" s="38"/>
      <c r="E12" s="38"/>
      <c r="F12" s="38"/>
      <c r="G12" s="38"/>
      <c r="H12" s="38"/>
      <c r="I12" s="38"/>
      <c r="J12" s="38"/>
      <c r="K12" s="38"/>
      <c r="L12" s="38"/>
      <c r="M12" s="38"/>
      <c r="N12" s="38"/>
      <c r="O12" s="36"/>
      <c r="P12" s="36"/>
    </row>
    <row r="13" spans="1:16" x14ac:dyDescent="0.2">
      <c r="A13" s="38"/>
      <c r="B13" s="38"/>
      <c r="C13" s="38"/>
      <c r="D13" s="38"/>
      <c r="E13" s="38"/>
      <c r="F13" s="38"/>
      <c r="G13" s="38"/>
      <c r="H13" s="38"/>
      <c r="I13" s="38"/>
      <c r="J13" s="38"/>
      <c r="K13" s="38"/>
      <c r="L13" s="38"/>
      <c r="M13" s="38"/>
      <c r="N13" s="38"/>
      <c r="O13" s="36"/>
      <c r="P13" s="36"/>
    </row>
    <row r="14" spans="1:16" x14ac:dyDescent="0.2">
      <c r="A14" s="38"/>
      <c r="B14" s="38"/>
      <c r="C14" s="38"/>
      <c r="D14" s="38"/>
      <c r="E14" s="38"/>
      <c r="F14" s="38"/>
      <c r="G14" s="38"/>
      <c r="H14" s="38"/>
      <c r="I14" s="38"/>
      <c r="J14" s="38"/>
      <c r="K14" s="38"/>
      <c r="L14" s="38"/>
      <c r="M14" s="38"/>
      <c r="N14" s="38"/>
      <c r="O14" s="36"/>
      <c r="P14" s="36"/>
    </row>
    <row r="15" spans="1:16" x14ac:dyDescent="0.2">
      <c r="A15" s="38"/>
      <c r="B15" s="38"/>
      <c r="C15" s="38"/>
      <c r="D15" s="38"/>
      <c r="E15" s="38"/>
      <c r="F15" s="38"/>
      <c r="G15" s="38"/>
      <c r="H15" s="38"/>
      <c r="I15" s="38"/>
      <c r="J15" s="38"/>
      <c r="K15" s="38"/>
      <c r="L15" s="38"/>
      <c r="M15" s="38"/>
      <c r="N15" s="38"/>
      <c r="O15" s="36"/>
      <c r="P15" s="36"/>
    </row>
    <row r="16" spans="1:16" x14ac:dyDescent="0.2">
      <c r="A16" s="38"/>
      <c r="B16" s="38"/>
      <c r="C16" s="38"/>
      <c r="D16" s="38"/>
      <c r="E16" s="38"/>
      <c r="F16" s="38"/>
      <c r="G16" s="38"/>
      <c r="H16" s="38"/>
      <c r="I16" s="38"/>
      <c r="J16" s="38"/>
      <c r="K16" s="38"/>
      <c r="L16" s="38"/>
      <c r="M16" s="38"/>
      <c r="N16" s="38"/>
      <c r="O16" s="36"/>
      <c r="P16" s="36"/>
    </row>
    <row r="17" spans="1:16" x14ac:dyDescent="0.2">
      <c r="A17" s="38"/>
      <c r="B17" s="38"/>
      <c r="C17" s="38"/>
      <c r="D17" s="38"/>
      <c r="E17" s="38"/>
      <c r="F17" s="38"/>
      <c r="G17" s="38"/>
      <c r="H17" s="38"/>
      <c r="I17" s="38"/>
      <c r="J17" s="38"/>
      <c r="K17" s="38"/>
      <c r="L17" s="38"/>
      <c r="M17" s="38"/>
      <c r="N17" s="38"/>
      <c r="O17" s="36"/>
      <c r="P17" s="36"/>
    </row>
    <row r="18" spans="1:16" x14ac:dyDescent="0.2">
      <c r="A18" s="38"/>
      <c r="B18" s="38"/>
      <c r="C18" s="38"/>
      <c r="D18" s="38"/>
      <c r="E18" s="38"/>
      <c r="F18" s="38"/>
      <c r="G18" s="38"/>
      <c r="H18" s="38"/>
      <c r="I18" s="38"/>
      <c r="J18" s="38"/>
      <c r="K18" s="38"/>
      <c r="L18" s="38"/>
      <c r="M18" s="38"/>
      <c r="N18" s="38"/>
      <c r="O18" s="36"/>
      <c r="P18" s="36"/>
    </row>
    <row r="19" spans="1:16" x14ac:dyDescent="0.2">
      <c r="A19" s="38"/>
      <c r="B19" s="38"/>
      <c r="C19" s="38"/>
      <c r="D19" s="38"/>
      <c r="E19" s="38"/>
      <c r="F19" s="38"/>
      <c r="G19" s="38"/>
      <c r="H19" s="38"/>
      <c r="I19" s="38"/>
      <c r="J19" s="38"/>
      <c r="K19" s="38"/>
      <c r="L19" s="38"/>
      <c r="M19" s="38"/>
      <c r="N19" s="38"/>
      <c r="O19" s="36"/>
      <c r="P19" s="36"/>
    </row>
    <row r="20" spans="1:16" x14ac:dyDescent="0.2">
      <c r="A20" s="38"/>
      <c r="B20" s="38"/>
      <c r="C20" s="38"/>
      <c r="D20" s="38"/>
      <c r="E20" s="38"/>
      <c r="F20" s="38"/>
      <c r="G20" s="38"/>
      <c r="H20" s="38"/>
      <c r="I20" s="38"/>
      <c r="J20" s="38"/>
      <c r="K20" s="38"/>
      <c r="L20" s="38"/>
      <c r="M20" s="38"/>
      <c r="N20" s="38"/>
      <c r="O20" s="36"/>
      <c r="P20" s="36"/>
    </row>
    <row r="21" spans="1:16" x14ac:dyDescent="0.2">
      <c r="A21" s="38"/>
      <c r="B21" s="38"/>
      <c r="C21" s="38"/>
      <c r="D21" s="38"/>
      <c r="E21" s="38"/>
      <c r="F21" s="38"/>
      <c r="G21" s="38"/>
      <c r="H21" s="38"/>
      <c r="I21" s="38"/>
      <c r="J21" s="38"/>
      <c r="K21" s="38"/>
      <c r="L21" s="38"/>
      <c r="M21" s="38"/>
      <c r="N21" s="38"/>
      <c r="O21" s="36"/>
      <c r="P21" s="36"/>
    </row>
    <row r="22" spans="1:16" x14ac:dyDescent="0.2">
      <c r="A22" s="38"/>
      <c r="B22" s="38"/>
      <c r="C22" s="38"/>
      <c r="D22" s="38"/>
      <c r="E22" s="38"/>
      <c r="F22" s="38"/>
      <c r="G22" s="38"/>
      <c r="H22" s="38"/>
      <c r="I22" s="38"/>
      <c r="J22" s="38"/>
      <c r="K22" s="38"/>
      <c r="L22" s="38"/>
      <c r="M22" s="38"/>
      <c r="N22" s="38"/>
      <c r="O22" s="36"/>
      <c r="P22" s="36"/>
    </row>
    <row r="23" spans="1:16" x14ac:dyDescent="0.2">
      <c r="A23" s="38"/>
      <c r="B23" s="38"/>
      <c r="C23" s="38"/>
      <c r="D23" s="38"/>
      <c r="E23" s="38"/>
      <c r="F23" s="38"/>
      <c r="G23" s="38"/>
      <c r="H23" s="38"/>
      <c r="I23" s="38"/>
      <c r="J23" s="38"/>
      <c r="K23" s="38"/>
      <c r="L23" s="38"/>
      <c r="M23" s="38"/>
      <c r="N23" s="38"/>
      <c r="O23" s="36"/>
      <c r="P23" s="36"/>
    </row>
    <row r="24" spans="1:16" x14ac:dyDescent="0.2">
      <c r="A24" s="38"/>
      <c r="B24" s="38"/>
      <c r="C24" s="38"/>
      <c r="D24" s="38"/>
      <c r="E24" s="38"/>
      <c r="F24" s="38"/>
      <c r="G24" s="38"/>
      <c r="H24" s="38"/>
      <c r="I24" s="38"/>
      <c r="J24" s="38"/>
      <c r="K24" s="38"/>
      <c r="L24" s="38"/>
      <c r="M24" s="38"/>
      <c r="N24" s="38"/>
      <c r="O24" s="36"/>
      <c r="P24" s="36"/>
    </row>
    <row r="25" spans="1:16" x14ac:dyDescent="0.2">
      <c r="A25" s="38"/>
      <c r="B25" s="38"/>
      <c r="C25" s="38"/>
      <c r="D25" s="38"/>
      <c r="E25" s="38"/>
      <c r="F25" s="38"/>
      <c r="G25" s="38"/>
      <c r="H25" s="38"/>
      <c r="I25" s="38"/>
      <c r="J25" s="38"/>
      <c r="K25" s="38"/>
      <c r="L25" s="38"/>
      <c r="M25" s="38"/>
      <c r="N25" s="38"/>
      <c r="O25" s="36"/>
      <c r="P25" s="36"/>
    </row>
    <row r="26" spans="1:16" x14ac:dyDescent="0.2">
      <c r="A26" s="38"/>
      <c r="B26" s="38"/>
      <c r="C26" s="38"/>
      <c r="D26" s="38"/>
      <c r="E26" s="38"/>
      <c r="F26" s="38"/>
      <c r="G26" s="38"/>
      <c r="H26" s="38"/>
      <c r="I26" s="38"/>
      <c r="J26" s="38"/>
      <c r="K26" s="38"/>
      <c r="L26" s="38"/>
      <c r="M26" s="38"/>
      <c r="N26" s="38"/>
      <c r="O26" s="36"/>
      <c r="P26" s="36"/>
    </row>
    <row r="27" spans="1:16" x14ac:dyDescent="0.2">
      <c r="A27" s="38"/>
      <c r="B27" s="38"/>
      <c r="C27" s="38"/>
      <c r="D27" s="38"/>
      <c r="E27" s="38"/>
      <c r="F27" s="38"/>
      <c r="G27" s="38"/>
      <c r="H27" s="38"/>
      <c r="I27" s="38"/>
      <c r="J27" s="38"/>
      <c r="K27" s="38"/>
      <c r="L27" s="38"/>
      <c r="M27" s="38"/>
      <c r="N27" s="38"/>
      <c r="O27" s="36"/>
      <c r="P27" s="36"/>
    </row>
    <row r="28" spans="1:16" x14ac:dyDescent="0.2">
      <c r="A28" s="38"/>
      <c r="B28" s="38"/>
      <c r="C28" s="38"/>
      <c r="D28" s="38"/>
      <c r="E28" s="38"/>
      <c r="F28" s="38"/>
      <c r="G28" s="38"/>
      <c r="H28" s="38"/>
      <c r="I28" s="38"/>
      <c r="J28" s="38"/>
      <c r="K28" s="38"/>
      <c r="L28" s="38"/>
      <c r="M28" s="38"/>
      <c r="N28" s="38"/>
      <c r="O28" s="36"/>
      <c r="P28" s="36"/>
    </row>
    <row r="29" spans="1:16" x14ac:dyDescent="0.2">
      <c r="A29" s="38"/>
      <c r="B29" s="38"/>
      <c r="C29" s="38"/>
      <c r="D29" s="38"/>
      <c r="E29" s="38"/>
      <c r="F29" s="38"/>
      <c r="G29" s="38"/>
      <c r="H29" s="38"/>
      <c r="I29" s="38"/>
      <c r="J29" s="38"/>
      <c r="K29" s="38"/>
      <c r="L29" s="38"/>
      <c r="M29" s="38"/>
      <c r="N29" s="38"/>
      <c r="O29" s="36"/>
      <c r="P29" s="36"/>
    </row>
    <row r="30" spans="1:16" x14ac:dyDescent="0.2">
      <c r="A30" s="38"/>
      <c r="B30" s="38"/>
      <c r="C30" s="38"/>
      <c r="D30" s="38"/>
      <c r="E30" s="38"/>
      <c r="F30" s="38"/>
      <c r="G30" s="38"/>
      <c r="H30" s="38"/>
      <c r="I30" s="38"/>
      <c r="J30" s="38"/>
      <c r="K30" s="38"/>
      <c r="L30" s="38"/>
      <c r="M30" s="38"/>
      <c r="N30" s="38"/>
      <c r="O30" s="36"/>
      <c r="P30" s="36"/>
    </row>
    <row r="31" spans="1:16" x14ac:dyDescent="0.2">
      <c r="A31" s="38"/>
      <c r="B31" s="38"/>
      <c r="C31" s="38"/>
      <c r="D31" s="38"/>
      <c r="E31" s="38"/>
      <c r="F31" s="38"/>
      <c r="G31" s="38"/>
      <c r="H31" s="38"/>
      <c r="I31" s="38"/>
      <c r="J31" s="38"/>
      <c r="K31" s="38"/>
      <c r="L31" s="38"/>
      <c r="M31" s="38"/>
      <c r="N31" s="38"/>
      <c r="O31" s="36"/>
      <c r="P31" s="36"/>
    </row>
    <row r="32" spans="1:16" x14ac:dyDescent="0.2">
      <c r="A32" s="38"/>
      <c r="B32" s="38"/>
      <c r="C32" s="38"/>
      <c r="D32" s="38"/>
      <c r="E32" s="38"/>
      <c r="F32" s="38"/>
      <c r="G32" s="38"/>
      <c r="H32" s="38"/>
      <c r="I32" s="38"/>
      <c r="J32" s="38"/>
      <c r="K32" s="38"/>
      <c r="L32" s="38"/>
      <c r="M32" s="38"/>
      <c r="N32" s="38"/>
      <c r="O32" s="36"/>
      <c r="P32" s="36"/>
    </row>
    <row r="33" spans="1:16" x14ac:dyDescent="0.2">
      <c r="A33" s="38"/>
      <c r="B33" s="38"/>
      <c r="C33" s="38"/>
      <c r="D33" s="38"/>
      <c r="E33" s="38"/>
      <c r="F33" s="38"/>
      <c r="G33" s="38"/>
      <c r="H33" s="38"/>
      <c r="I33" s="38"/>
      <c r="J33" s="38"/>
      <c r="K33" s="38"/>
      <c r="L33" s="38"/>
      <c r="M33" s="38"/>
      <c r="N33" s="38"/>
      <c r="O33" s="36"/>
      <c r="P33" s="36"/>
    </row>
    <row r="34" spans="1:16" x14ac:dyDescent="0.2">
      <c r="A34" s="38"/>
      <c r="B34" s="38"/>
      <c r="C34" s="38"/>
      <c r="D34" s="38"/>
      <c r="E34" s="38"/>
      <c r="F34" s="38"/>
      <c r="G34" s="38"/>
      <c r="H34" s="38"/>
      <c r="I34" s="38"/>
      <c r="J34" s="38"/>
      <c r="K34" s="38"/>
      <c r="L34" s="38"/>
      <c r="M34" s="38"/>
      <c r="N34" s="38"/>
      <c r="O34" s="36"/>
      <c r="P34" s="36"/>
    </row>
    <row r="35" spans="1:16" x14ac:dyDescent="0.2">
      <c r="A35" s="38"/>
      <c r="B35" s="38"/>
      <c r="C35" s="38"/>
      <c r="D35" s="38"/>
      <c r="E35" s="38"/>
      <c r="F35" s="38"/>
      <c r="G35" s="38"/>
      <c r="H35" s="38"/>
      <c r="I35" s="38"/>
      <c r="J35" s="38"/>
      <c r="K35" s="38"/>
      <c r="L35" s="38"/>
      <c r="M35" s="38"/>
      <c r="N35" s="38"/>
      <c r="O35" s="36"/>
      <c r="P35" s="36"/>
    </row>
    <row r="36" spans="1:16" x14ac:dyDescent="0.2">
      <c r="A36" s="38"/>
      <c r="B36" s="38"/>
      <c r="C36" s="38"/>
      <c r="D36" s="38"/>
      <c r="E36" s="38"/>
      <c r="F36" s="38"/>
      <c r="G36" s="38"/>
      <c r="H36" s="38"/>
      <c r="I36" s="38"/>
      <c r="J36" s="38"/>
      <c r="K36" s="38"/>
      <c r="L36" s="38"/>
      <c r="M36" s="38"/>
      <c r="N36" s="38"/>
      <c r="O36" s="36"/>
      <c r="P36" s="36"/>
    </row>
    <row r="37" spans="1:16" x14ac:dyDescent="0.2">
      <c r="A37" s="38"/>
      <c r="B37" s="38"/>
      <c r="C37" s="38"/>
      <c r="D37" s="38"/>
      <c r="E37" s="38"/>
      <c r="F37" s="38"/>
      <c r="G37" s="38"/>
      <c r="H37" s="38"/>
      <c r="I37" s="38"/>
      <c r="J37" s="38"/>
      <c r="K37" s="38"/>
      <c r="L37" s="38"/>
      <c r="M37" s="38"/>
      <c r="N37" s="38"/>
      <c r="O37" s="36"/>
      <c r="P37" s="36"/>
    </row>
    <row r="38" spans="1:16" x14ac:dyDescent="0.2">
      <c r="A38" s="38"/>
      <c r="B38" s="38"/>
      <c r="C38" s="38"/>
      <c r="D38" s="38"/>
      <c r="E38" s="38"/>
      <c r="F38" s="38"/>
      <c r="G38" s="38"/>
      <c r="H38" s="38"/>
      <c r="I38" s="38"/>
      <c r="J38" s="38"/>
      <c r="K38" s="38"/>
      <c r="L38" s="38"/>
      <c r="M38" s="38"/>
      <c r="N38" s="38"/>
      <c r="O38" s="36"/>
      <c r="P38" s="36"/>
    </row>
    <row r="39" spans="1:16" x14ac:dyDescent="0.2">
      <c r="A39" s="38"/>
      <c r="B39" s="38"/>
      <c r="C39" s="38"/>
      <c r="D39" s="38"/>
      <c r="E39" s="38"/>
      <c r="F39" s="38"/>
      <c r="G39" s="38"/>
      <c r="H39" s="38"/>
      <c r="I39" s="38"/>
      <c r="J39" s="38"/>
      <c r="K39" s="38"/>
      <c r="L39" s="38"/>
      <c r="M39" s="38"/>
      <c r="N39" s="38"/>
      <c r="O39" s="36"/>
      <c r="P39" s="36"/>
    </row>
    <row r="40" spans="1:16" x14ac:dyDescent="0.2">
      <c r="A40" s="38"/>
      <c r="B40" s="38"/>
      <c r="C40" s="38"/>
      <c r="D40" s="38"/>
      <c r="E40" s="38"/>
      <c r="F40" s="38"/>
      <c r="G40" s="38"/>
      <c r="H40" s="38"/>
      <c r="I40" s="38"/>
      <c r="J40" s="38"/>
      <c r="K40" s="38"/>
      <c r="L40" s="38"/>
      <c r="M40" s="38"/>
      <c r="N40" s="38"/>
      <c r="O40" s="36"/>
      <c r="P40" s="36"/>
    </row>
    <row r="41" spans="1:16" x14ac:dyDescent="0.2">
      <c r="A41" s="38"/>
      <c r="B41" s="38"/>
      <c r="C41" s="38"/>
      <c r="D41" s="38"/>
      <c r="E41" s="38"/>
      <c r="F41" s="38"/>
      <c r="G41" s="38"/>
      <c r="H41" s="38"/>
      <c r="I41" s="38"/>
      <c r="J41" s="38"/>
      <c r="K41" s="38"/>
      <c r="L41" s="38"/>
      <c r="M41" s="38"/>
      <c r="N41" s="38"/>
      <c r="O41" s="36"/>
      <c r="P41" s="36"/>
    </row>
    <row r="42" spans="1:16" x14ac:dyDescent="0.2">
      <c r="A42" s="38"/>
      <c r="B42" s="38"/>
      <c r="C42" s="38"/>
      <c r="D42" s="38"/>
      <c r="E42" s="38"/>
      <c r="F42" s="38"/>
      <c r="G42" s="38"/>
      <c r="H42" s="38"/>
      <c r="I42" s="38"/>
      <c r="J42" s="38"/>
      <c r="K42" s="38"/>
      <c r="L42" s="38"/>
      <c r="M42" s="38"/>
      <c r="N42" s="38"/>
      <c r="O42" s="36"/>
      <c r="P42" s="36"/>
    </row>
    <row r="43" spans="1:16" x14ac:dyDescent="0.2">
      <c r="A43" s="38"/>
      <c r="B43" s="38"/>
      <c r="C43" s="38"/>
      <c r="D43" s="38"/>
      <c r="E43" s="38"/>
      <c r="F43" s="38"/>
      <c r="G43" s="38"/>
      <c r="H43" s="38"/>
      <c r="I43" s="38"/>
      <c r="J43" s="38"/>
      <c r="K43" s="38"/>
      <c r="L43" s="38"/>
      <c r="M43" s="38"/>
      <c r="N43" s="38"/>
      <c r="O43" s="36"/>
      <c r="P43" s="36"/>
    </row>
    <row r="44" spans="1:16" x14ac:dyDescent="0.2">
      <c r="A44" s="38"/>
      <c r="B44" s="38"/>
      <c r="C44" s="38"/>
      <c r="D44" s="38"/>
      <c r="E44" s="38"/>
      <c r="F44" s="38"/>
      <c r="G44" s="38"/>
      <c r="H44" s="38"/>
      <c r="I44" s="38"/>
      <c r="J44" s="38"/>
      <c r="K44" s="38"/>
      <c r="L44" s="38"/>
      <c r="M44" s="38"/>
      <c r="N44" s="38"/>
      <c r="O44" s="36"/>
      <c r="P44" s="36"/>
    </row>
    <row r="45" spans="1:16" x14ac:dyDescent="0.2">
      <c r="A45" s="38"/>
      <c r="B45" s="38"/>
      <c r="C45" s="38"/>
      <c r="D45" s="38"/>
      <c r="E45" s="38"/>
      <c r="F45" s="38"/>
      <c r="G45" s="38"/>
      <c r="H45" s="38"/>
      <c r="I45" s="38"/>
      <c r="J45" s="38"/>
      <c r="K45" s="38"/>
      <c r="L45" s="38"/>
      <c r="M45" s="38"/>
      <c r="N45" s="38"/>
      <c r="O45" s="36"/>
      <c r="P45" s="36"/>
    </row>
    <row r="46" spans="1:16" x14ac:dyDescent="0.2">
      <c r="A46" s="38"/>
      <c r="B46" s="38"/>
      <c r="C46" s="38"/>
      <c r="D46" s="38"/>
      <c r="E46" s="38"/>
      <c r="F46" s="38"/>
      <c r="G46" s="38"/>
      <c r="H46" s="38"/>
      <c r="I46" s="38"/>
      <c r="J46" s="38"/>
      <c r="K46" s="38"/>
      <c r="L46" s="38"/>
      <c r="M46" s="38"/>
      <c r="N46" s="38"/>
      <c r="O46" s="36"/>
      <c r="P46" s="36"/>
    </row>
    <row r="47" spans="1:16" x14ac:dyDescent="0.2">
      <c r="A47" s="38"/>
      <c r="B47" s="38"/>
      <c r="C47" s="38"/>
      <c r="D47" s="38"/>
      <c r="E47" s="38"/>
      <c r="F47" s="38"/>
      <c r="G47" s="38"/>
      <c r="H47" s="38"/>
      <c r="I47" s="38"/>
      <c r="J47" s="38"/>
      <c r="K47" s="38"/>
      <c r="L47" s="38"/>
      <c r="M47" s="38"/>
      <c r="N47" s="38"/>
      <c r="O47" s="36"/>
      <c r="P47" s="36"/>
    </row>
    <row r="48" spans="1:16" x14ac:dyDescent="0.2">
      <c r="A48" s="38"/>
      <c r="B48" s="38"/>
      <c r="C48" s="38"/>
      <c r="D48" s="38"/>
      <c r="E48" s="38"/>
      <c r="F48" s="38"/>
      <c r="G48" s="38"/>
      <c r="H48" s="38"/>
      <c r="I48" s="38"/>
      <c r="J48" s="38"/>
      <c r="K48" s="38"/>
      <c r="L48" s="38"/>
      <c r="M48" s="38"/>
      <c r="N48" s="38"/>
      <c r="O48" s="36"/>
      <c r="P48" s="36"/>
    </row>
    <row r="49" spans="1:16" x14ac:dyDescent="0.2">
      <c r="A49" s="38"/>
      <c r="B49" s="38"/>
      <c r="C49" s="38"/>
      <c r="D49" s="38"/>
      <c r="E49" s="38"/>
      <c r="F49" s="38"/>
      <c r="G49" s="38"/>
      <c r="H49" s="38"/>
      <c r="I49" s="38"/>
      <c r="J49" s="38"/>
      <c r="K49" s="38"/>
      <c r="L49" s="38"/>
      <c r="M49" s="38"/>
      <c r="N49" s="38"/>
      <c r="O49" s="36"/>
      <c r="P49" s="36"/>
    </row>
    <row r="50" spans="1:16" x14ac:dyDescent="0.2">
      <c r="A50" s="38"/>
      <c r="B50" s="38"/>
      <c r="C50" s="38"/>
      <c r="D50" s="38"/>
      <c r="E50" s="38"/>
      <c r="F50" s="38"/>
      <c r="G50" s="38"/>
      <c r="H50" s="38"/>
      <c r="I50" s="38"/>
      <c r="J50" s="38"/>
      <c r="K50" s="38"/>
      <c r="L50" s="38"/>
      <c r="M50" s="38"/>
      <c r="N50" s="38"/>
      <c r="O50" s="36"/>
      <c r="P50" s="36"/>
    </row>
    <row r="51" spans="1:16" x14ac:dyDescent="0.2">
      <c r="A51" s="38"/>
      <c r="B51" s="38"/>
      <c r="C51" s="38"/>
      <c r="D51" s="38"/>
      <c r="E51" s="38"/>
      <c r="F51" s="38"/>
      <c r="G51" s="38"/>
      <c r="H51" s="38"/>
      <c r="I51" s="38"/>
      <c r="J51" s="38"/>
      <c r="K51" s="38"/>
      <c r="L51" s="38"/>
      <c r="M51" s="38"/>
      <c r="N51" s="38"/>
      <c r="O51" s="36"/>
      <c r="P51" s="36"/>
    </row>
    <row r="52" spans="1:16" x14ac:dyDescent="0.2">
      <c r="A52" s="38"/>
      <c r="B52" s="38"/>
      <c r="C52" s="38"/>
      <c r="D52" s="38"/>
      <c r="E52" s="38"/>
      <c r="F52" s="38"/>
      <c r="G52" s="38"/>
      <c r="H52" s="38"/>
      <c r="I52" s="38"/>
      <c r="J52" s="38"/>
      <c r="K52" s="38"/>
      <c r="L52" s="38"/>
      <c r="M52" s="38"/>
      <c r="N52" s="38"/>
      <c r="O52" s="36"/>
      <c r="P52" s="36"/>
    </row>
    <row r="53" spans="1:16" x14ac:dyDescent="0.2">
      <c r="A53" s="38"/>
      <c r="B53" s="38"/>
      <c r="C53" s="38"/>
      <c r="D53" s="38"/>
      <c r="E53" s="38"/>
      <c r="F53" s="38"/>
      <c r="G53" s="38"/>
      <c r="H53" s="38"/>
      <c r="I53" s="38"/>
      <c r="J53" s="38"/>
      <c r="K53" s="38"/>
      <c r="L53" s="38"/>
      <c r="M53" s="38"/>
      <c r="N53" s="38"/>
      <c r="O53" s="36"/>
      <c r="P53" s="36"/>
    </row>
    <row r="54" spans="1:16" x14ac:dyDescent="0.2">
      <c r="A54" s="38"/>
      <c r="B54" s="38"/>
      <c r="C54" s="38"/>
      <c r="D54" s="38"/>
      <c r="E54" s="38"/>
      <c r="F54" s="38"/>
      <c r="G54" s="38"/>
      <c r="H54" s="38"/>
      <c r="I54" s="38"/>
      <c r="J54" s="38"/>
      <c r="K54" s="38"/>
      <c r="L54" s="38"/>
      <c r="M54" s="38"/>
      <c r="N54" s="38"/>
      <c r="O54" s="36"/>
      <c r="P54" s="36"/>
    </row>
    <row r="55" spans="1:16" x14ac:dyDescent="0.2">
      <c r="A55" s="38"/>
      <c r="B55" s="38"/>
      <c r="C55" s="38"/>
      <c r="D55" s="38"/>
      <c r="E55" s="38"/>
      <c r="F55" s="38"/>
      <c r="G55" s="38"/>
      <c r="H55" s="38"/>
      <c r="I55" s="38"/>
      <c r="J55" s="38"/>
      <c r="K55" s="38"/>
      <c r="L55" s="38"/>
      <c r="M55" s="38"/>
      <c r="N55" s="38"/>
      <c r="O55" s="36"/>
      <c r="P55" s="36"/>
    </row>
    <row r="56" spans="1:16" x14ac:dyDescent="0.2">
      <c r="A56" s="38"/>
      <c r="B56" s="38"/>
      <c r="C56" s="38"/>
      <c r="D56" s="38"/>
      <c r="E56" s="38"/>
      <c r="F56" s="38"/>
      <c r="G56" s="38"/>
      <c r="H56" s="38"/>
      <c r="I56" s="38"/>
      <c r="J56" s="38"/>
      <c r="K56" s="38"/>
      <c r="L56" s="38"/>
      <c r="M56" s="38"/>
      <c r="N56" s="38"/>
      <c r="O56" s="36"/>
      <c r="P56" s="36"/>
    </row>
    <row r="57" spans="1:16" x14ac:dyDescent="0.2">
      <c r="A57" s="38"/>
      <c r="B57" s="38"/>
      <c r="C57" s="38"/>
      <c r="D57" s="38"/>
      <c r="E57" s="38"/>
      <c r="F57" s="38"/>
      <c r="G57" s="38"/>
      <c r="H57" s="38"/>
      <c r="I57" s="38"/>
      <c r="J57" s="38"/>
      <c r="K57" s="38"/>
      <c r="L57" s="38"/>
      <c r="M57" s="38"/>
      <c r="N57" s="38"/>
      <c r="O57" s="36"/>
      <c r="P57" s="36"/>
    </row>
    <row r="58" spans="1:16" x14ac:dyDescent="0.2">
      <c r="A58" s="38"/>
      <c r="B58" s="38"/>
      <c r="C58" s="38"/>
      <c r="D58" s="38"/>
      <c r="E58" s="38"/>
      <c r="F58" s="38"/>
      <c r="G58" s="38"/>
      <c r="H58" s="38"/>
      <c r="I58" s="38"/>
      <c r="J58" s="38"/>
      <c r="K58" s="38"/>
      <c r="L58" s="38"/>
      <c r="M58" s="38"/>
      <c r="N58" s="38"/>
      <c r="O58" s="36"/>
      <c r="P58" s="36"/>
    </row>
    <row r="59" spans="1:16" x14ac:dyDescent="0.2">
      <c r="A59" s="38"/>
      <c r="B59" s="38"/>
      <c r="C59" s="38"/>
      <c r="D59" s="38"/>
      <c r="E59" s="38"/>
      <c r="F59" s="38"/>
      <c r="G59" s="38"/>
      <c r="H59" s="38"/>
      <c r="I59" s="38"/>
      <c r="J59" s="38"/>
      <c r="K59" s="38"/>
      <c r="L59" s="38"/>
      <c r="M59" s="38"/>
      <c r="N59" s="38"/>
      <c r="O59" s="36"/>
      <c r="P59" s="36"/>
    </row>
    <row r="60" spans="1:16" x14ac:dyDescent="0.2">
      <c r="A60" s="38"/>
      <c r="B60" s="38"/>
      <c r="C60" s="38"/>
      <c r="D60" s="38"/>
      <c r="E60" s="38"/>
      <c r="F60" s="38"/>
      <c r="G60" s="38"/>
      <c r="H60" s="38"/>
      <c r="I60" s="38"/>
      <c r="J60" s="38"/>
      <c r="K60" s="38"/>
      <c r="L60" s="38"/>
      <c r="M60" s="38"/>
      <c r="N60" s="38"/>
      <c r="O60" s="36"/>
      <c r="P60" s="36"/>
    </row>
    <row r="61" spans="1:16" x14ac:dyDescent="0.2">
      <c r="A61" s="38"/>
      <c r="B61" s="38"/>
      <c r="C61" s="38"/>
      <c r="D61" s="38"/>
      <c r="E61" s="38"/>
      <c r="F61" s="38"/>
      <c r="G61" s="38"/>
      <c r="H61" s="38"/>
      <c r="I61" s="38"/>
      <c r="J61" s="38"/>
      <c r="K61" s="38"/>
      <c r="L61" s="38"/>
      <c r="M61" s="38"/>
      <c r="N61" s="38"/>
      <c r="O61" s="36"/>
      <c r="P61" s="36"/>
    </row>
    <row r="62" spans="1:16" x14ac:dyDescent="0.2">
      <c r="A62" s="38"/>
      <c r="B62" s="38"/>
      <c r="C62" s="38"/>
      <c r="D62" s="38"/>
      <c r="E62" s="38"/>
      <c r="F62" s="38"/>
      <c r="G62" s="38"/>
      <c r="H62" s="38"/>
      <c r="I62" s="38"/>
      <c r="J62" s="38"/>
      <c r="K62" s="38"/>
      <c r="L62" s="38"/>
      <c r="M62" s="38"/>
      <c r="N62" s="38"/>
      <c r="O62" s="36"/>
      <c r="P62" s="36"/>
    </row>
    <row r="63" spans="1:16" x14ac:dyDescent="0.2">
      <c r="A63" s="38"/>
      <c r="B63" s="38"/>
      <c r="C63" s="38"/>
      <c r="D63" s="38"/>
      <c r="E63" s="38"/>
      <c r="F63" s="38"/>
      <c r="G63" s="38"/>
      <c r="H63" s="38"/>
      <c r="I63" s="38"/>
      <c r="J63" s="38"/>
      <c r="K63" s="38"/>
      <c r="L63" s="38"/>
      <c r="M63" s="38"/>
      <c r="N63" s="38"/>
      <c r="O63" s="36"/>
      <c r="P63" s="36"/>
    </row>
    <row r="64" spans="1:16" x14ac:dyDescent="0.2">
      <c r="A64" s="38"/>
      <c r="B64" s="38"/>
      <c r="C64" s="38"/>
      <c r="D64" s="38"/>
      <c r="E64" s="38"/>
      <c r="F64" s="38"/>
      <c r="G64" s="38"/>
      <c r="H64" s="38"/>
      <c r="I64" s="38"/>
      <c r="J64" s="38"/>
      <c r="K64" s="38"/>
      <c r="L64" s="38"/>
      <c r="M64" s="38"/>
      <c r="N64" s="38"/>
      <c r="O64" s="36"/>
      <c r="P64" s="36"/>
    </row>
    <row r="65" spans="1:16" x14ac:dyDescent="0.2">
      <c r="A65" s="38"/>
      <c r="B65" s="38"/>
      <c r="C65" s="38"/>
      <c r="D65" s="38"/>
      <c r="E65" s="38"/>
      <c r="F65" s="38"/>
      <c r="G65" s="38"/>
      <c r="H65" s="38"/>
      <c r="I65" s="38"/>
      <c r="J65" s="38"/>
      <c r="K65" s="38"/>
      <c r="L65" s="38"/>
      <c r="M65" s="38"/>
      <c r="N65" s="38"/>
      <c r="O65" s="36"/>
      <c r="P65" s="36"/>
    </row>
    <row r="66" spans="1:16" x14ac:dyDescent="0.2">
      <c r="A66" s="38"/>
      <c r="B66" s="38"/>
      <c r="C66" s="38"/>
      <c r="D66" s="38"/>
      <c r="E66" s="38"/>
      <c r="F66" s="38"/>
      <c r="G66" s="38"/>
      <c r="H66" s="38"/>
      <c r="I66" s="38"/>
      <c r="J66" s="38"/>
      <c r="K66" s="38"/>
      <c r="L66" s="38"/>
      <c r="M66" s="38"/>
      <c r="N66" s="38"/>
    </row>
    <row r="67" spans="1:16" x14ac:dyDescent="0.2">
      <c r="A67" s="38"/>
      <c r="B67" s="38"/>
      <c r="C67" s="38"/>
      <c r="D67" s="38"/>
      <c r="E67" s="38"/>
      <c r="F67" s="38"/>
      <c r="G67" s="38"/>
      <c r="H67" s="38"/>
      <c r="I67" s="38"/>
      <c r="J67" s="38"/>
      <c r="K67" s="38"/>
      <c r="L67" s="38"/>
      <c r="M67" s="38"/>
      <c r="N67" s="38"/>
    </row>
    <row r="68" spans="1:16" x14ac:dyDescent="0.2">
      <c r="A68" s="38"/>
      <c r="B68" s="38"/>
      <c r="C68" s="38"/>
      <c r="D68" s="38"/>
      <c r="E68" s="38"/>
      <c r="F68" s="38"/>
      <c r="G68" s="38"/>
      <c r="H68" s="38"/>
      <c r="I68" s="38"/>
      <c r="J68" s="38"/>
      <c r="K68" s="38"/>
      <c r="L68" s="38"/>
      <c r="M68" s="38"/>
      <c r="N68" s="38"/>
    </row>
    <row r="69" spans="1:16" x14ac:dyDescent="0.2">
      <c r="A69" s="38"/>
      <c r="B69" s="38"/>
      <c r="C69" s="38"/>
      <c r="D69" s="38"/>
      <c r="E69" s="38"/>
      <c r="F69" s="38"/>
      <c r="G69" s="38"/>
      <c r="H69" s="38"/>
      <c r="I69" s="38"/>
      <c r="J69" s="38"/>
      <c r="K69" s="38"/>
      <c r="L69" s="38"/>
      <c r="M69" s="38"/>
      <c r="N69" s="38"/>
    </row>
    <row r="70" spans="1:16" x14ac:dyDescent="0.2">
      <c r="A70" s="38"/>
      <c r="B70" s="38"/>
      <c r="C70" s="38"/>
      <c r="D70" s="38"/>
      <c r="E70" s="38"/>
      <c r="F70" s="38"/>
      <c r="G70" s="38"/>
      <c r="H70" s="38"/>
      <c r="I70" s="38"/>
      <c r="J70" s="38"/>
      <c r="K70" s="38"/>
      <c r="L70" s="38"/>
      <c r="M70" s="38"/>
      <c r="N70" s="38"/>
    </row>
    <row r="71" spans="1:16" x14ac:dyDescent="0.2">
      <c r="A71" s="38"/>
      <c r="B71" s="38"/>
      <c r="C71" s="38"/>
      <c r="D71" s="38"/>
      <c r="E71" s="38"/>
      <c r="F71" s="38"/>
      <c r="G71" s="38"/>
      <c r="H71" s="38"/>
      <c r="I71" s="38"/>
      <c r="J71" s="38"/>
      <c r="K71" s="38"/>
      <c r="L71" s="38"/>
      <c r="M71" s="38"/>
      <c r="N71" s="38"/>
    </row>
    <row r="72" spans="1:16" x14ac:dyDescent="0.2">
      <c r="A72" s="38"/>
      <c r="B72" s="38"/>
      <c r="C72" s="38"/>
      <c r="D72" s="38"/>
      <c r="E72" s="38"/>
      <c r="F72" s="38"/>
      <c r="G72" s="38"/>
      <c r="H72" s="38"/>
      <c r="I72" s="38"/>
      <c r="J72" s="38"/>
      <c r="K72" s="38"/>
      <c r="L72" s="38"/>
      <c r="M72" s="38"/>
      <c r="N72" s="38"/>
    </row>
    <row r="73" spans="1:16" x14ac:dyDescent="0.2">
      <c r="A73" s="38"/>
      <c r="B73" s="38"/>
      <c r="C73" s="38"/>
      <c r="D73" s="38"/>
      <c r="E73" s="38"/>
      <c r="F73" s="38"/>
      <c r="G73" s="38"/>
      <c r="H73" s="38"/>
      <c r="I73" s="38"/>
      <c r="J73" s="38"/>
      <c r="K73" s="38"/>
      <c r="L73" s="38"/>
      <c r="M73" s="38"/>
      <c r="N73" s="38"/>
    </row>
    <row r="74" spans="1:16" x14ac:dyDescent="0.2">
      <c r="A74" s="38"/>
      <c r="B74" s="38"/>
      <c r="C74" s="38"/>
      <c r="D74" s="38"/>
      <c r="E74" s="38"/>
      <c r="F74" s="38"/>
      <c r="G74" s="38"/>
      <c r="H74" s="38"/>
      <c r="I74" s="38"/>
      <c r="J74" s="38"/>
      <c r="K74" s="38"/>
      <c r="L74" s="38"/>
      <c r="M74" s="38"/>
      <c r="N74" s="38"/>
    </row>
    <row r="75" spans="1:16" x14ac:dyDescent="0.2">
      <c r="A75" s="38"/>
      <c r="B75" s="38"/>
      <c r="C75" s="38"/>
      <c r="D75" s="38"/>
      <c r="E75" s="38"/>
      <c r="F75" s="38"/>
      <c r="G75" s="38"/>
      <c r="H75" s="38"/>
      <c r="I75" s="38"/>
      <c r="J75" s="38"/>
      <c r="K75" s="38"/>
      <c r="L75" s="38"/>
      <c r="M75" s="38"/>
      <c r="N75" s="38"/>
    </row>
    <row r="76" spans="1:16" x14ac:dyDescent="0.2">
      <c r="A76" s="38"/>
      <c r="B76" s="38"/>
      <c r="C76" s="38"/>
      <c r="D76" s="38"/>
      <c r="E76" s="38"/>
      <c r="F76" s="38"/>
      <c r="G76" s="38"/>
      <c r="H76" s="38"/>
      <c r="I76" s="38"/>
      <c r="J76" s="38"/>
      <c r="K76" s="38"/>
      <c r="L76" s="38"/>
      <c r="M76" s="38"/>
      <c r="N76" s="38"/>
    </row>
    <row r="77" spans="1:16" x14ac:dyDescent="0.2">
      <c r="A77" s="38"/>
      <c r="B77" s="38"/>
      <c r="C77" s="38"/>
      <c r="D77" s="38"/>
      <c r="E77" s="38"/>
      <c r="F77" s="38"/>
      <c r="G77" s="38"/>
      <c r="H77" s="38"/>
      <c r="I77" s="38"/>
      <c r="J77" s="38"/>
      <c r="K77" s="38"/>
      <c r="L77" s="38"/>
      <c r="M77" s="38"/>
      <c r="N77" s="38"/>
    </row>
    <row r="78" spans="1:16" x14ac:dyDescent="0.2">
      <c r="A78" s="38"/>
      <c r="B78" s="38"/>
      <c r="C78" s="38"/>
      <c r="D78" s="38"/>
      <c r="E78" s="38"/>
      <c r="F78" s="38"/>
      <c r="G78" s="38"/>
      <c r="H78" s="38"/>
      <c r="I78" s="38"/>
      <c r="J78" s="38"/>
      <c r="K78" s="38"/>
      <c r="L78" s="38"/>
      <c r="M78" s="38"/>
      <c r="N78" s="38"/>
    </row>
    <row r="79" spans="1:16" x14ac:dyDescent="0.2">
      <c r="A79" s="38"/>
      <c r="B79" s="38"/>
      <c r="C79" s="38"/>
      <c r="D79" s="38"/>
      <c r="E79" s="38"/>
      <c r="F79" s="38"/>
      <c r="G79" s="38"/>
      <c r="H79" s="38"/>
      <c r="I79" s="38"/>
      <c r="J79" s="38"/>
      <c r="K79" s="38"/>
      <c r="L79" s="38"/>
      <c r="M79" s="38"/>
      <c r="N79" s="38"/>
    </row>
    <row r="80" spans="1:16" x14ac:dyDescent="0.2">
      <c r="A80" s="38"/>
      <c r="B80" s="38"/>
      <c r="C80" s="38"/>
      <c r="D80" s="38"/>
      <c r="E80" s="38"/>
      <c r="F80" s="38"/>
      <c r="G80" s="38"/>
      <c r="H80" s="38"/>
      <c r="I80" s="38"/>
      <c r="J80" s="38"/>
      <c r="K80" s="38"/>
      <c r="L80" s="38"/>
      <c r="M80" s="38"/>
      <c r="N80" s="38"/>
    </row>
    <row r="81" spans="1:14" x14ac:dyDescent="0.2">
      <c r="A81" s="38"/>
      <c r="B81" s="38"/>
      <c r="C81" s="38"/>
      <c r="D81" s="38"/>
      <c r="E81" s="38"/>
      <c r="F81" s="38"/>
      <c r="G81" s="38"/>
      <c r="H81" s="38"/>
      <c r="I81" s="38"/>
      <c r="J81" s="38"/>
      <c r="K81" s="38"/>
      <c r="L81" s="38"/>
      <c r="M81" s="38"/>
      <c r="N81" s="38"/>
    </row>
    <row r="82" spans="1:14" x14ac:dyDescent="0.2">
      <c r="A82" s="38"/>
      <c r="B82" s="38"/>
      <c r="C82" s="38"/>
      <c r="D82" s="38"/>
      <c r="E82" s="38"/>
      <c r="F82" s="38"/>
      <c r="G82" s="38"/>
      <c r="H82" s="38"/>
      <c r="I82" s="38"/>
      <c r="J82" s="38"/>
      <c r="K82" s="38"/>
      <c r="L82" s="38"/>
      <c r="M82" s="38"/>
      <c r="N82" s="38"/>
    </row>
  </sheetData>
  <mergeCells count="2">
    <mergeCell ref="A1:N1"/>
    <mergeCell ref="A2:N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Tabel Bantuan</vt:lpstr>
      <vt:lpstr>Dashboard</vt:lpstr>
      <vt:lpstr>Penjelasan</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Geis khafiyya</dc:creator>
  <cp:lastModifiedBy>Geis khafiyya</cp:lastModifiedBy>
  <dcterms:created xsi:type="dcterms:W3CDTF">2026-04-22T02:15:48Z</dcterms:created>
  <dcterms:modified xsi:type="dcterms:W3CDTF">2026-07-19T02:09:12Z</dcterms:modified>
</cp:coreProperties>
</file>