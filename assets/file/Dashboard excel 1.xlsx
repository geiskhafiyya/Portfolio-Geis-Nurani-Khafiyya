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5.xml" ContentType="application/vnd.openxmlformats-officedocument.drawingml.chart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is/University/Semester 2/portfolio-hcj/assets/file/"/>
    </mc:Choice>
  </mc:AlternateContent>
  <xr:revisionPtr revIDLastSave="0" documentId="13_ncr:1_{557CB7DC-6353-AD47-99A3-6F6AC765CF0E}" xr6:coauthVersionLast="47" xr6:coauthVersionMax="47" xr10:uidLastSave="{00000000-0000-0000-0000-000000000000}"/>
  <bookViews>
    <workbookView xWindow="1040" yWindow="500" windowWidth="32560" windowHeight="20500" activeTab="2" xr2:uid="{26B0A4A6-4BB6-964D-8482-CF20742DCB0E}"/>
  </bookViews>
  <sheets>
    <sheet name="Data" sheetId="3" r:id="rId1"/>
    <sheet name="Tabel-bantuan" sheetId="2" r:id="rId2"/>
    <sheet name="Dashboard" sheetId="1" r:id="rId3"/>
  </sheets>
  <definedNames>
    <definedName name="_xlchart.v1.0" hidden="1">'Tabel-bantuan'!$B$31:$B$35</definedName>
    <definedName name="_xlchart.v1.1" hidden="1">'Tabel-bantuan'!$C$31:$C$35</definedName>
    <definedName name="_xlchart.v5.2" hidden="1">'Tabel-bantuan'!$B$31:$B$35</definedName>
    <definedName name="_xlchart.v5.3" hidden="1">'Tabel-bantuan'!$C$31:$C$35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0" i="1"/>
  <c r="H53" i="2"/>
  <c r="A114" i="2" s="1" a="1"/>
  <c r="B98" i="2"/>
  <c r="B97" i="2"/>
  <c r="B96" i="2"/>
  <c r="B95" i="2"/>
  <c r="B94" i="2"/>
  <c r="B93" i="2"/>
  <c r="L54" i="2"/>
  <c r="N54" i="2" s="1"/>
  <c r="L55" i="2"/>
  <c r="N55" i="2" s="1"/>
  <c r="L56" i="2"/>
  <c r="N56" i="2" s="1"/>
  <c r="L57" i="2"/>
  <c r="N57" i="2" s="1"/>
  <c r="L58" i="2"/>
  <c r="N58" i="2" s="1"/>
  <c r="L59" i="2"/>
  <c r="N59" i="2" s="1"/>
  <c r="L60" i="2"/>
  <c r="N60" i="2" s="1"/>
  <c r="L61" i="2"/>
  <c r="N61" i="2" s="1"/>
  <c r="L62" i="2"/>
  <c r="N62" i="2" s="1"/>
  <c r="L63" i="2"/>
  <c r="N63" i="2" s="1"/>
  <c r="L64" i="2"/>
  <c r="N64" i="2" s="1"/>
  <c r="L65" i="2"/>
  <c r="N65" i="2" s="1"/>
  <c r="L66" i="2"/>
  <c r="N66" i="2" s="1"/>
  <c r="L67" i="2"/>
  <c r="N67" i="2" s="1"/>
  <c r="L68" i="2"/>
  <c r="N68" i="2" s="1"/>
  <c r="L69" i="2"/>
  <c r="N69" i="2" s="1"/>
  <c r="L70" i="2"/>
  <c r="N70" i="2" s="1"/>
  <c r="L71" i="2"/>
  <c r="N71" i="2" s="1"/>
  <c r="L72" i="2"/>
  <c r="N72" i="2" s="1"/>
  <c r="L73" i="2"/>
  <c r="N73" i="2" s="1"/>
  <c r="L74" i="2"/>
  <c r="N74" i="2" s="1"/>
  <c r="L75" i="2"/>
  <c r="N75" i="2" s="1"/>
  <c r="L76" i="2"/>
  <c r="N76" i="2" s="1"/>
  <c r="L77" i="2"/>
  <c r="N77" i="2" s="1"/>
  <c r="L78" i="2"/>
  <c r="N78" i="2" s="1"/>
  <c r="L79" i="2"/>
  <c r="N79" i="2" s="1"/>
  <c r="L80" i="2"/>
  <c r="N80" i="2" s="1"/>
  <c r="L81" i="2"/>
  <c r="N81" i="2" s="1"/>
  <c r="L82" i="2"/>
  <c r="N82" i="2" s="1"/>
  <c r="L83" i="2"/>
  <c r="N83" i="2" s="1"/>
  <c r="L84" i="2"/>
  <c r="N84" i="2" s="1"/>
  <c r="L85" i="2"/>
  <c r="N85" i="2" s="1"/>
  <c r="L86" i="2"/>
  <c r="N86" i="2" s="1"/>
  <c r="L87" i="2"/>
  <c r="N87" i="2" s="1"/>
  <c r="L88" i="2"/>
  <c r="N88" i="2" s="1"/>
  <c r="L89" i="2"/>
  <c r="N89" i="2" s="1"/>
  <c r="L90" i="2"/>
  <c r="N90" i="2" s="1"/>
  <c r="L53" i="2"/>
  <c r="N53" i="2" s="1"/>
  <c r="H80" i="2"/>
  <c r="H81" i="2"/>
  <c r="H82" i="2"/>
  <c r="H83" i="2"/>
  <c r="H84" i="2"/>
  <c r="H85" i="2"/>
  <c r="H86" i="2"/>
  <c r="H87" i="2"/>
  <c r="H88" i="2"/>
  <c r="H89" i="2"/>
  <c r="H90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K67" i="2" s="1"/>
  <c r="H68" i="2"/>
  <c r="H69" i="2"/>
  <c r="H70" i="2"/>
  <c r="H71" i="2"/>
  <c r="H72" i="2"/>
  <c r="H73" i="2"/>
  <c r="H74" i="2"/>
  <c r="H75" i="2"/>
  <c r="H76" i="2"/>
  <c r="H77" i="2"/>
  <c r="H78" i="2"/>
  <c r="H79" i="2"/>
  <c r="H54" i="2"/>
  <c r="B8" i="2"/>
  <c r="H15" i="1"/>
  <c r="A5" i="2"/>
  <c r="H11" i="1" s="1" a="1"/>
  <c r="H11" i="1" s="1"/>
  <c r="B5" i="2"/>
  <c r="C5" i="2"/>
  <c r="D5" i="2"/>
  <c r="E5" i="2"/>
  <c r="H7" i="1"/>
  <c r="A114" i="2" l="1"/>
  <c r="N49" i="1"/>
  <c r="H50" i="1"/>
  <c r="B9" i="2"/>
  <c r="E9" i="2" s="1"/>
  <c r="E8" i="2"/>
  <c r="J8" i="2" s="1"/>
  <c r="E46" i="1"/>
  <c r="K78" i="2"/>
  <c r="K79" i="2"/>
  <c r="K81" i="2"/>
  <c r="K82" i="2"/>
  <c r="K87" i="2"/>
  <c r="K90" i="2"/>
  <c r="K61" i="2"/>
  <c r="K73" i="2"/>
  <c r="K77" i="2"/>
  <c r="K80" i="2"/>
  <c r="K83" i="2"/>
  <c r="K88" i="2"/>
  <c r="K60" i="2"/>
  <c r="K68" i="2"/>
  <c r="K72" i="2"/>
  <c r="K85" i="2"/>
  <c r="K62" i="2"/>
  <c r="K69" i="2"/>
  <c r="K74" i="2"/>
  <c r="K53" i="2"/>
  <c r="K86" i="2"/>
  <c r="K65" i="2"/>
  <c r="K70" i="2"/>
  <c r="K75" i="2"/>
  <c r="K84" i="2"/>
  <c r="K63" i="2"/>
  <c r="K64" i="2"/>
  <c r="K66" i="2"/>
  <c r="K71" i="2"/>
  <c r="K76" i="2"/>
  <c r="I81" i="2"/>
  <c r="I84" i="2"/>
  <c r="I87" i="2"/>
  <c r="I83" i="2"/>
  <c r="I85" i="2"/>
  <c r="I82" i="2"/>
  <c r="I86" i="2"/>
  <c r="I90" i="2"/>
  <c r="I54" i="2"/>
  <c r="I80" i="2"/>
  <c r="I88" i="2"/>
  <c r="I53" i="2"/>
  <c r="I79" i="2"/>
  <c r="I89" i="2"/>
  <c r="K89" i="2"/>
  <c r="K55" i="2"/>
  <c r="I55" i="2"/>
  <c r="K56" i="2"/>
  <c r="I56" i="2"/>
  <c r="K57" i="2"/>
  <c r="I57" i="2"/>
  <c r="I58" i="2"/>
  <c r="K58" i="2"/>
  <c r="K59" i="2"/>
  <c r="H46" i="1" s="1"/>
  <c r="I59" i="2"/>
  <c r="E50" i="1" s="1"/>
  <c r="I76" i="2"/>
  <c r="I73" i="2"/>
  <c r="I70" i="2"/>
  <c r="I67" i="2"/>
  <c r="I64" i="2"/>
  <c r="I61" i="2"/>
  <c r="I65" i="2"/>
  <c r="I69" i="2"/>
  <c r="I72" i="2"/>
  <c r="I75" i="2"/>
  <c r="I78" i="2"/>
  <c r="I60" i="2"/>
  <c r="K54" i="2"/>
  <c r="I62" i="2"/>
  <c r="I63" i="2"/>
  <c r="I66" i="2"/>
  <c r="I68" i="2"/>
  <c r="I71" i="2"/>
  <c r="I74" i="2"/>
  <c r="I77" i="2"/>
  <c r="C12" i="2"/>
  <c r="C11" i="2"/>
  <c r="C31" i="2" s="1"/>
  <c r="C15" i="2"/>
  <c r="C13" i="2"/>
  <c r="C14" i="2"/>
  <c r="D3" i="2" a="1"/>
  <c r="D3" i="2" s="1"/>
  <c r="J9" i="2" l="1"/>
  <c r="E7" i="2"/>
  <c r="H8" i="2"/>
  <c r="C34" i="2"/>
  <c r="C33" i="2"/>
  <c r="C35" i="2"/>
  <c r="C32" i="2"/>
  <c r="N4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<sst xmlns="http://schemas.openxmlformats.org/spreadsheetml/2006/main" count="184" uniqueCount="89">
  <si>
    <t>38 Provinsi</t>
  </si>
  <si>
    <t>Produksi Daging Sapi menurut Provinsi (Ton)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</si>
  <si>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</si>
  <si>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</si>
  <si>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</si>
  <si>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</si>
  <si>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</si>
  <si>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</si>
  <si>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</si>
  <si>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</si>
  <si>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</si>
  <si>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</si>
  <si>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</si>
  <si>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</si>
  <si>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</si>
  <si>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</si>
  <si>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</si>
  <si>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</si>
  <si>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</si>
  <si>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</si>
  <si>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</si>
  <si>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</si>
  <si>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</si>
  <si>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</si>
  <si>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</si>
  <si>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</si>
  <si>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</si>
  <si>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</si>
  <si>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</si>
  <si>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</si>
  <si>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</si>
  <si>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</si>
  <si>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</si>
  <si>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</si>
  <si>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</si>
  <si>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</si>
  <si>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-</t>
  </si>
  <si>
    <t>PAPUA</t>
  </si>
  <si>
    <t>PAPUA SELATAN</t>
  </si>
  <si>
    <t>PAPUA TENGAH</t>
  </si>
  <si>
    <t>PAPUA PEGUNUNGAN</t>
  </si>
  <si>
    <t>INDONESIA</t>
  </si>
  <si>
    <t>Jumlah Provinsi</t>
  </si>
  <si>
    <t>Provinsi</t>
  </si>
  <si>
    <t>Provinsi dengan Kontribusi Terbesar</t>
  </si>
  <si>
    <t>Provinsi dengan kontribusi terbesar</t>
  </si>
  <si>
    <t>Dashboard Produksi Daging Sapi di Indonesia (Ton) Tahun 2021-2025</t>
  </si>
  <si>
    <t xml:space="preserve"> Total Produksi Nasional (Ton)</t>
  </si>
  <si>
    <t>Indeks</t>
  </si>
  <si>
    <t>Column1</t>
  </si>
  <si>
    <t>2021</t>
  </si>
  <si>
    <t>2022</t>
  </si>
  <si>
    <t>2023</t>
  </si>
  <si>
    <t>2024</t>
  </si>
  <si>
    <t>2025</t>
  </si>
  <si>
    <t>Provinsi (Indonesia)</t>
  </si>
  <si>
    <t>Sebaran Data Provinsi</t>
  </si>
  <si>
    <t>Grafik Tren Produksi</t>
  </si>
  <si>
    <t>Analisis kenaikan/penururan</t>
  </si>
  <si>
    <t>Kedudukan Produksi Skala Nasional</t>
  </si>
  <si>
    <t>Total Keseluruhan (2021-2025)</t>
  </si>
  <si>
    <t>Rank</t>
  </si>
  <si>
    <t>Produksi Tertinggi</t>
  </si>
  <si>
    <t>Tahun Produksi Tertinggi</t>
  </si>
  <si>
    <t>Tertinggi</t>
  </si>
  <si>
    <t>Terendah</t>
  </si>
  <si>
    <t>SUMATERA</t>
  </si>
  <si>
    <t>JAWA</t>
  </si>
  <si>
    <t>NUSA TENGGARA &amp; BALI</t>
  </si>
  <si>
    <t>KALIMANTAN</t>
  </si>
  <si>
    <t>SULAWESI</t>
  </si>
  <si>
    <t>MALUKU &amp; PAPUA</t>
  </si>
  <si>
    <t>TOTAL PRODUKSI BERDASARKAN PULAU</t>
  </si>
  <si>
    <t xml:space="preserve"> Kontribusi Skala Nasional</t>
  </si>
  <si>
    <t>Pulau</t>
  </si>
  <si>
    <t>10 Provinsi Kontribusi Terbesar</t>
  </si>
  <si>
    <t>Kedudukan Produksi Skala Provinsi</t>
  </si>
  <si>
    <t>Jumlah Pulau</t>
  </si>
  <si>
    <t>Total Produksi (Pulau)</t>
  </si>
  <si>
    <t>Total Produksi (Provinsi)</t>
  </si>
  <si>
    <t>Persentase Andil Produksi Skala Provinsi</t>
  </si>
  <si>
    <t>Persentase Andil Produksi Skala Pulau</t>
  </si>
  <si>
    <t>Total Produksi Provinsi</t>
  </si>
  <si>
    <t>Kontribusi Nasional</t>
  </si>
  <si>
    <t>Total Produksi Provinsi Lainnya</t>
  </si>
  <si>
    <t>Total Produksi (Ton) Tahun 2021-2025</t>
  </si>
  <si>
    <t>Produksi Daging Sapi (Ton)</t>
  </si>
  <si>
    <t>Top 10 Produksi Daging Sapi (Ton) Tahun 2021-2025</t>
  </si>
  <si>
    <t>Pertumbuhan Produksi Daging Sapi Nasional (Ton) Tahun 2021-2025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</si>
</sst>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4" tint="0.79998168889431442"/>
      <name val="Calibri"/>
      <family val="2"/>
      <scheme val="minor"/>
    </font>
    <font>
      <b/>
      <sz val="12"/>
      <color theme="4" tint="0.79998168889431442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b/>
      <sz val="12"/>
      <color rgb="FFF8CDE9"/>
      <name val="Calibri"/>
      <family val="2"/>
      <scheme val="minor"/>
    </font>
    <font>
      <b/>
      <sz val="14"/>
      <color rgb="FF9D348B"/>
      <name val="Calibri"/>
      <family val="2"/>
      <scheme val="minor"/>
    </font>
    <font>
      <b/>
      <sz val="16"/>
      <color rgb="FFF8CDE9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D348B"/>
        <bgColor indexed="64"/>
      </patternFill>
    </fill>
    <fill>
      <patternFill patternType="solid">
        <fgColor rgb="FFF8CDE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0" fillId="0" borderId="8" xfId="0" applyBorder="1"/>
    <xf numFmtId="4" fontId="0" fillId="0" borderId="8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4" xfId="0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4" fontId="0" fillId="0" borderId="0" xfId="0" applyNumberFormat="1"/>
    <xf numFmtId="0" fontId="0" fillId="0" borderId="1" xfId="0" applyBorder="1" applyAlignment="1">
      <alignment horizontal="left" vertical="top"/>
    </xf>
    <xf numFmtId="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1" xfId="0" applyFont="1" applyBorder="1"/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9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4" fontId="10" fillId="3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10"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D348B"/>
      <color rgb="FFF8CDE9"/>
      <color rgb="FF2F5496"/>
      <color rgb="FFFCAEEB"/>
      <color rgb="FF630B64"/>
      <color rgb="FFA500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 Tren Produksi Tahun 2021-2025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'Tabel-bantuan'!$B$11:$B$15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'Tabel-bantuan'!$C$11:$C$15</c:f>
              <c:numCache>
                <c:formatCode>General</c:formatCode>
                <c:ptCount val="5"/>
                <c:pt idx="0">
                  <c:v>4348.01</c:v>
                </c:pt>
                <c:pt idx="1">
                  <c:v>3329.27</c:v>
                </c:pt>
                <c:pt idx="2">
                  <c:v>3355.5</c:v>
                </c:pt>
                <c:pt idx="3">
                  <c:v>2779.88</c:v>
                </c:pt>
                <c:pt idx="4">
                  <c:v>2528.89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4-2A4C-B9E5-C918DFAC3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75248"/>
        <c:axId val="309383552"/>
      </c:barChart>
      <c:catAx>
        <c:axId val="36377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383552"/>
        <c:crosses val="autoZero"/>
        <c:auto val="1"/>
        <c:lblAlgn val="ctr"/>
        <c:lblOffset val="100"/>
        <c:noMultiLvlLbl val="0"/>
      </c:catAx>
      <c:valAx>
        <c:axId val="30938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77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Produksi Berdasarkan Pulau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'Tabel-bantuan'!$A$93:$A$98</c:f>
              <c:strCache>
                <c:ptCount val="6"/>
                <c:pt idx="0">
                  <c:v>SUMATERA</c:v>
                </c:pt>
                <c:pt idx="1">
                  <c:v>JAWA</c:v>
                </c:pt>
                <c:pt idx="2">
                  <c:v>NUSA TENGGARA &amp; BALI</c:v>
                </c:pt>
                <c:pt idx="3">
                  <c:v>KALIMANTAN</c:v>
                </c:pt>
                <c:pt idx="4">
                  <c:v>SULAWESI</c:v>
                </c:pt>
                <c:pt idx="5">
                  <c:v>MALUKU &amp; PAPUA</c:v>
                </c:pt>
              </c:strCache>
            </c:strRef>
          </c:cat>
          <c:val>
            <c:numRef>
              <c:f>'Tabel-bantuan'!$B$93:$B$98</c:f>
              <c:numCache>
                <c:formatCode>#,##0.00</c:formatCode>
                <c:ptCount val="6"/>
                <c:pt idx="0">
                  <c:v>531679.56000000006</c:v>
                </c:pt>
                <c:pt idx="1">
                  <c:v>1476371.5999999996</c:v>
                </c:pt>
                <c:pt idx="2">
                  <c:v>139820.44</c:v>
                </c:pt>
                <c:pt idx="3">
                  <c:v>112538.63000000002</c:v>
                </c:pt>
                <c:pt idx="4">
                  <c:v>162940.79</c:v>
                </c:pt>
                <c:pt idx="5">
                  <c:v>34175.340000000004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F-FC40-AFAA-A4D7A6315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2589760"/>
        <c:axId val="433716560"/>
      </c:barChart>
      <c:catAx>
        <c:axId val="40258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16560"/>
        <c:crosses val="autoZero"/>
        <c:auto val="1"/>
        <c:lblAlgn val="ctr"/>
        <c:lblOffset val="100"/>
        <c:noMultiLvlLbl val="0"/>
      </c:catAx>
      <c:valAx>
        <c:axId val="43371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8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D9-0645-A147-9D95E03741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D9-0645-A147-9D95E0374138}"/>
              </c:ext>
            </c:extLst>
          </c:dPt>
          <c:cat>
            <c:strRef>
              <c:f>'Tabel-bantuan'!$I$8:$I$9</c:f>
              <c:strCache>
                <c:ptCount val="2"/>
                <c:pt idx="0">
                  <c:v>Total Produksi Provinsi</c:v>
                </c:pt>
                <c:pt idx="1">
                  <c:v>Total Produksi Provinsi Lainnya</c:v>
                </c:pt>
              </c:strCache>
            </c:strRef>
          </c:cat>
          <c:val>
            <c:numRef>
              <c:f>'Tabel-bantuan'!$J$8:$J$9</c:f>
              <c:numCache>
                <c:formatCode>General</c:formatCode>
                <c:ptCount val="2"/>
                <c:pt idx="0">
                  <c:v>16341.55</c:v>
                </c:pt>
                <c:pt idx="1">
                  <c:v>515338.01000000007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F-3D4F-BC98-8BF626802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'Tabel-bantuan'!$A$114:$A$123</c:f>
              <c:strCache>
                <c:ptCount val="10"/>
                <c:pt idx="0">
                  <c:v>JAWA TIMUR</c:v>
                </c:pt>
                <c:pt idx="1">
                  <c:v>JAWA BARAT</c:v>
                </c:pt>
                <c:pt idx="2">
                  <c:v>JAWA TENGAH</c:v>
                </c:pt>
                <c:pt idx="3">
                  <c:v>SUMATERA BARAT</c:v>
                </c:pt>
                <c:pt idx="4">
                  <c:v>LAMPUNG</c:v>
                </c:pt>
                <c:pt idx="5">
                  <c:v>BANTEN</c:v>
                </c:pt>
                <c:pt idx="6">
                  <c:v>SUMATERA UTARA</c:v>
                </c:pt>
                <c:pt idx="7">
                  <c:v>DKI JAKARTA</c:v>
                </c:pt>
                <c:pt idx="8">
                  <c:v>SULAWESI SELATAN</c:v>
                </c:pt>
                <c:pt idx="9">
                  <c:v>ACEH</c:v>
                </c:pt>
              </c:strCache>
            </c:strRef>
          </c:cat>
          <c:val>
            <c:numRef>
              <c:f>'Tabel-bantuan'!$H$114:$H$123</c:f>
              <c:numCache>
                <c:formatCode>General</c:formatCode>
                <c:ptCount val="10"/>
                <c:pt idx="0">
                  <c:v>512722.56</c:v>
                </c:pt>
                <c:pt idx="1">
                  <c:v>394478.14999999997</c:v>
                </c:pt>
                <c:pt idx="2">
                  <c:v>356026.51</c:v>
                </c:pt>
                <c:pt idx="3">
                  <c:v>114650.55</c:v>
                </c:pt>
                <c:pt idx="4">
                  <c:v>102195.16</c:v>
                </c:pt>
                <c:pt idx="5">
                  <c:v>92166.290000000008</c:v>
                </c:pt>
                <c:pt idx="6">
                  <c:v>82749.25</c:v>
                </c:pt>
                <c:pt idx="7">
                  <c:v>79434.02</c:v>
                </c:pt>
                <c:pt idx="8">
                  <c:v>75181.62</c:v>
                </c:pt>
                <c:pt idx="9">
                  <c:v>69813.569999999992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2-4542-BE08-41B022FFD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6900511"/>
        <c:axId val="1288044511"/>
      </c:barChart>
      <c:catAx>
        <c:axId val="178690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044511"/>
        <c:crosses val="autoZero"/>
        <c:auto val="1"/>
        <c:lblAlgn val="ctr"/>
        <c:lblOffset val="100"/>
        <c:noMultiLvlLbl val="0"/>
      </c:catAx>
      <c:valAx>
        <c:axId val="128804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90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Data!$B$42</c:f>
              <c:strCache>
                <c:ptCount val="1"/>
                <c:pt idx="0">
                  <c:v>INDONESIA</c:v>
                </c:pt>
              </c:strCache>
            </c:strRef>
          </c:tx>
          <c:spPr>
            <a:solidFill>
              <a:srgbClr val="2F5496"/>
            </a:solidFill>
          </c:spPr>
          <c:invertIfNegative val="0"/>
          <c:cat>
            <c:numRef>
              <c:f>Data!$C$3:$G$3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Data!$C$42:$G$42</c:f>
              <c:numCache>
                <c:formatCode>#,##0.00</c:formatCode>
                <c:ptCount val="5"/>
                <c:pt idx="0">
                  <c:v>487802.21</c:v>
                </c:pt>
                <c:pt idx="1">
                  <c:v>498923.14</c:v>
                </c:pt>
                <c:pt idx="2">
                  <c:v>503506.8</c:v>
                </c:pt>
                <c:pt idx="3">
                  <c:v>470209.73</c:v>
                </c:pt>
                <c:pt idx="4">
                  <c:v>499149.96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1F-8E48-AE09-C1D3045F3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9467008"/>
        <c:axId val="749469264"/>
      </c:barChart>
      <c:catAx>
        <c:axId val="74946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69264"/>
        <c:crosses val="autoZero"/>
        <c:auto val="1"/>
        <c:lblAlgn val="ctr"/>
        <c:lblOffset val="100"/>
        <c:noMultiLvlLbl val="0"/>
      </c:catAx>
      <c:valAx>
        <c:axId val="74946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6700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264531015962328E-2"/>
          <c:y val="8.8303570807764548E-2"/>
          <c:w val="0.55138258660878003"/>
          <c:h val="0.8387500011336473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D348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71-174B-89EC-3A7BB4D91B8C}"/>
              </c:ext>
            </c:extLst>
          </c:dPt>
          <c:dPt>
            <c:idx val="1"/>
            <c:bubble3D val="0"/>
            <c:spPr>
              <a:solidFill>
                <a:srgbClr val="F8CDE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71-174B-89EC-3A7BB4D91B8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ln w="3175">
                        <a:noFill/>
                      </a:ln>
                      <a:solidFill>
                        <a:schemeClr val="bg1"/>
                      </a:solidFill>
                      <a:effectLst>
                        <a:outerShdw blurRad="50800" dist="50800" dir="5400000" sx="1000" sy="1000" algn="ctr" rotWithShape="0">
                          <a:srgbClr val="000000">
                            <a:alpha val="43137"/>
                          </a:srgb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71-174B-89EC-3A7BB4D91B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ln w="3175">
                      <a:noFill/>
                    </a:ln>
                    <a:solidFill>
                      <a:schemeClr val="tx1"/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'Tabel-bantuan'!$I$8:$I$9</c:f>
              <c:strCache>
                <c:ptCount val="2"/>
                <c:pt idx="0">
                  <c:v>Total Produksi Provinsi</c:v>
                </c:pt>
                <c:pt idx="1">
                  <c:v>Total Produksi Provinsi Lainnya</c:v>
                </c:pt>
              </c:strCache>
            </c:strRef>
          </c:cat>
          <c:val>
            <c:numRef>
              <c:f>'Tabel-bantuan'!$J$8:$J$9</c:f>
              <c:numCache>
                <c:formatCode>General</c:formatCode>
                <c:ptCount val="2"/>
                <c:pt idx="0">
                  <c:v>16341.55</c:v>
                </c:pt>
                <c:pt idx="1">
                  <c:v>515338.01000000007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71-174B-89EC-3A7BB4D91B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630360167483159"/>
          <c:y val="0.34708744834724792"/>
          <c:w val="0.28630037747815273"/>
          <c:h val="0.316283880133274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'Tabel-bantuan'!$A$114:$A$123</c:f>
              <c:strCache>
                <c:ptCount val="10"/>
                <c:pt idx="0">
                  <c:v>JAWA TIMUR</c:v>
                </c:pt>
                <c:pt idx="1">
                  <c:v>JAWA BARAT</c:v>
                </c:pt>
                <c:pt idx="2">
                  <c:v>JAWA TENGAH</c:v>
                </c:pt>
                <c:pt idx="3">
                  <c:v>SUMATERA BARAT</c:v>
                </c:pt>
                <c:pt idx="4">
                  <c:v>LAMPUNG</c:v>
                </c:pt>
                <c:pt idx="5">
                  <c:v>BANTEN</c:v>
                </c:pt>
                <c:pt idx="6">
                  <c:v>SUMATERA UTARA</c:v>
                </c:pt>
                <c:pt idx="7">
                  <c:v>DKI JAKARTA</c:v>
                </c:pt>
                <c:pt idx="8">
                  <c:v>SULAWESI SELATAN</c:v>
                </c:pt>
                <c:pt idx="9">
                  <c:v>ACEH</c:v>
                </c:pt>
              </c:strCache>
            </c:strRef>
          </c:cat>
          <c:val>
            <c:numRef>
              <c:f>'Tabel-bantuan'!$H$114:$H$123</c:f>
              <c:numCache>
                <c:formatCode>General</c:formatCode>
                <c:ptCount val="10"/>
                <c:pt idx="0">
                  <c:v>512722.56</c:v>
                </c:pt>
                <c:pt idx="1">
                  <c:v>394478.14999999997</c:v>
                </c:pt>
                <c:pt idx="2">
                  <c:v>356026.51</c:v>
                </c:pt>
                <c:pt idx="3">
                  <c:v>114650.55</c:v>
                </c:pt>
                <c:pt idx="4">
                  <c:v>102195.16</c:v>
                </c:pt>
                <c:pt idx="5">
                  <c:v>92166.290000000008</c:v>
                </c:pt>
                <c:pt idx="6">
                  <c:v>82749.25</c:v>
                </c:pt>
                <c:pt idx="7">
                  <c:v>79434.02</c:v>
                </c:pt>
                <c:pt idx="8">
                  <c:v>75181.62</c:v>
                </c:pt>
                <c:pt idx="9">
                  <c:v>69813.569999999992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D-8146-A068-7477366C2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6900511"/>
        <c:axId val="1288044511"/>
      </c:barChart>
      <c:catAx>
        <c:axId val="178690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044511"/>
        <c:crosses val="autoZero"/>
        <c:auto val="1"/>
        <c:lblAlgn val="ctr"/>
        <c:lblOffset val="100"/>
        <c:noMultiLvlLbl val="0"/>
      </c:catAx>
      <c:valAx>
        <c:axId val="128804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90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Analisis Kenaikan/Penurunan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Analisis Kenaikan/Penurunan</a:t>
          </a:r>
        </a:p>
      </cx:txPr>
    </cx:title>
    <cx:plotArea>
      <cx:plotAreaRegion>
        <cx:series layoutId="waterfall" uniqueId="{0EB7FCB3-E584-3B41-8EAD-DBCB70B57490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val">
        <cx:f>_xlchart.v5.3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600">
                <a:solidFill>
                  <a:schemeClr val="tx1"/>
                </a:solidFill>
              </a:defRPr>
            </a:pPr>
            <a:r>
              <a:rPr lang="en-US" sz="1600" b="0" i="0" baseline="0">
                <a:solidFill>
                  <a:schemeClr val="tx1"/>
                </a:solidFill>
                <a:effectLst/>
              </a:rPr>
              <a:t>Tren Produksi Tahun 2021-2025</a:t>
            </a:r>
            <a:endParaRPr lang="en-ID" sz="1600">
              <a:solidFill>
                <a:schemeClr val="tx1"/>
              </a:solidFill>
              <a:effectLst/>
            </a:endParaRPr>
          </a:p>
        </cx:rich>
      </cx:tx>
    </cx:title>
    <cx:plotArea>
      <cx:plotAreaRegion>
        <cx:series layoutId="waterfall" uniqueId="{0EB7FCB3-E584-3B41-8EAD-DBCB70B57490}">
          <cx:dataPt idx="0"/>
          <cx:dataPt idx="3"/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rgbClr val="F8CDE9"/>
        </a:solidFill>
      </cx:spPr>
    </cx:fmtOvr>
    <cx:fmtOvr idx="0">
      <cx:spPr>
        <a:solidFill>
          <a:srgbClr val="9D348B"/>
        </a:solidFill>
      </cx:spPr>
    </cx:fmtOvr>
    <cx:fmtOvr idx="2"/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List" dx="15" fmlaLink="'Tabel-bantuan'!$B$7" fmlaRange="Data!$B$4:$B$41" noThreeD="1" sel="7" val="0"/>
</file>

<file path=xl/ctrlProps/ctrlProp2.xml><?xml version="1.0" encoding="utf-8"?>
<formControlPr xmlns="http://schemas.microsoft.com/office/spreadsheetml/2009/9/main" objectType="List" dx="15" fmlaLink="'Tabel-bantuan'!$B$7" fmlaRange="Data!$B$4:$B$41" noThreeD="1" sel="7" val="0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microsoft.com/office/2014/relationships/chartEx" Target="../charts/chartEx2.xml"/><Relationship Id="rId1" Type="http://schemas.openxmlformats.org/officeDocument/2006/relationships/chart" Target="../charts/chart5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355600</xdr:colOff>
          <xdr:row>0</xdr:row>
          <xdr:rowOff>12700</xdr:rowOff>
        </xdr:from>
        <xdr:to>
          <xdr:col>10</xdr:col>
          <xdr:colOff>177800</xdr:colOff>
          <xdr:row>34</xdr:row>
          <xdr:rowOff>12700</xdr:rowOff>
        </xdr:to>
        <xdr:sp macro="" textlink="">
          <xdr:nvSpPr>
            <xdr:cNvPr id="3079" name="List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226189</xdr:colOff>
      <xdr:row>15</xdr:row>
      <xdr:rowOff>92701</xdr:rowOff>
    </xdr:from>
    <xdr:to>
      <xdr:col>4</xdr:col>
      <xdr:colOff>426423</xdr:colOff>
      <xdr:row>27</xdr:row>
      <xdr:rowOff>120512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6990B7-6789-2B10-C921-624DAA45D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182211</xdr:colOff>
      <xdr:row>35</xdr:row>
      <xdr:rowOff>201618</xdr:rowOff>
    </xdr:from>
    <xdr:to>
      <xdr:col>5</xdr:col>
      <xdr:colOff>14293</xdr:colOff>
      <xdr:row>49</xdr:row>
      <xdr:rowOff>86833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8BC67A1-B878-AFC6-4AE2-A709A4807C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211" y="7313618"/>
              <a:ext cx="6651982" cy="2730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10338</xdr:colOff>
      <xdr:row>99</xdr:row>
      <xdr:rowOff>23923</xdr:rowOff>
    </xdr:from>
    <xdr:to>
      <xdr:col>3</xdr:col>
      <xdr:colOff>639431</xdr:colOff>
      <xdr:row>110</xdr:row>
      <xdr:rowOff>147675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F50C9E-95F6-E076-EC74-A98192A59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62818</xdr:colOff>
      <xdr:row>10</xdr:row>
      <xdr:rowOff>7648</xdr:rowOff>
    </xdr:from>
    <xdr:to>
      <xdr:col>9</xdr:col>
      <xdr:colOff>415141</xdr:colOff>
      <xdr:row>23</xdr:row>
      <xdr:rowOff>87945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8635575-2070-2710-67B6-D04C2F651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1301277</xdr:colOff>
      <xdr:row>98</xdr:row>
      <xdr:rowOff>45303</xdr:rowOff>
    </xdr:from>
    <xdr:to>
      <xdr:col>7</xdr:col>
      <xdr:colOff>2025367</xdr:colOff>
      <xdr:row>112</xdr:row>
      <xdr:rowOff>2085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E0CBC62-FDD0-780B-532F-052283653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203199</xdr:rowOff>
    </xdr:from>
    <xdr:to>
      <xdr:col>6</xdr:col>
      <xdr:colOff>1</xdr:colOff>
      <xdr:row>22</xdr:row>
      <xdr:rowOff>10855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AF112E-86A5-2A4E-BD61-99B086F46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25400</xdr:rowOff>
        </xdr:from>
        <xdr:to>
          <xdr:col>3</xdr:col>
          <xdr:colOff>12700</xdr:colOff>
          <xdr:row>51</xdr:row>
          <xdr:rowOff>12700</xdr:rowOff>
        </xdr:to>
        <xdr:sp macro="" textlink="">
          <xdr:nvSpPr>
            <xdr:cNvPr id="1029" name="List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8760</xdr:colOff>
      <xdr:row>25</xdr:row>
      <xdr:rowOff>12808</xdr:rowOff>
    </xdr:from>
    <xdr:to>
      <xdr:col>12</xdr:col>
      <xdr:colOff>11982</xdr:colOff>
      <xdr:row>43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FF99DE9-7A06-E542-95EA-050119F550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1360" y="5321408"/>
              <a:ext cx="7178722" cy="36447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16933</xdr:colOff>
      <xdr:row>27</xdr:row>
      <xdr:rowOff>0</xdr:rowOff>
    </xdr:from>
    <xdr:to>
      <xdr:col>17</xdr:col>
      <xdr:colOff>27912</xdr:colOff>
      <xdr:row>43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7F9267A-6E24-DF41-9FCE-4786287BD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10044</xdr:colOff>
      <xdr:row>7</xdr:row>
      <xdr:rowOff>8875</xdr:rowOff>
    </xdr:from>
    <xdr:to>
      <xdr:col>17</xdr:col>
      <xdr:colOff>0</xdr:colOff>
      <xdr:row>22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EDE5657-EDAD-DF49-AF93-E62BD425C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F03EF-22BC-9B4B-A615-3296DD84650C}" name="Table1" displayName="Table1" ref="A1:G42" totalsRowShown="0" headerRowDxfId="9" dataDxfId="8" tableBorderDxfId="7">
  <autoFilter ref="A1:G42" xr:uid="{473F03EF-22BC-9B4B-A615-3296DD84650C}"/>
  <tableColumns count="7">
    <tableColumn id="1" xr3:uid="{9A938E97-8A6A-F34D-B5F4-C65718F10345}" name="Column1" dataDxfId="6"/>
    <tableColumn id="2" xr3:uid="{13A75C52-BE74-BD4F-9D00-F4544F0F1E04}" name="Provinsi" dataDxfId="5"/>
    <tableColumn id="3" xr3:uid="{D36A82A7-93D0-3F44-BF64-A39FA3EFBD2B}" name="2021" dataDxfId="4"/>
    <tableColumn id="4" xr3:uid="{23776105-EFFD-514F-8051-610674262D85}" name="2022" dataDxfId="3"/>
    <tableColumn id="5" xr3:uid="{181C7A78-8D30-364B-B5B1-576D00AF2D60}" name="2023" dataDxfId="2"/>
    <tableColumn id="6" xr3:uid="{4AB6A8FA-8F66-F34C-96B7-E47668CF52FD}" name="2024" dataDxfId="1"/>
    <tableColumn id="7" xr3:uid="{E836358C-E480-604E-885C-B0B0A9AC1A4E}" name="2025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307F-3C3B-0B4C-A2C6-0BF8B385B56E}">
  <dimension ref="A1:I46"/>
  <sheetViews>
    <sheetView zoomScale="108" workbookViewId="0">
      <selection activeCell="I37" sqref="I37"/>
    </sheetView>
  </sheetViews>
  <sheetFormatPr baseColWidth="10" defaultRowHeight="16" x14ac:dyDescent="0.2"/>
  <cols>
    <col min="1" max="1" width="10.1640625" customWidth="1"/>
    <col min="2" max="2" width="22.33203125" customWidth="1"/>
  </cols>
  <sheetData>
    <row r="1" spans="1:9" x14ac:dyDescent="0.2">
      <c r="A1" s="8" t="s">
        <v>49</v>
      </c>
      <c r="B1" s="10" t="s">
        <v>43</v>
      </c>
      <c r="C1" s="1" t="s">
        <v>50</v>
      </c>
      <c r="D1" s="2" t="s">
        <v>51</v>
      </c>
      <c r="E1" s="2" t="s">
        <v>52</v>
      </c>
      <c r="F1" s="2" t="s">
        <v>53</v>
      </c>
      <c r="G1" s="2" t="s">
        <v>54</v>
      </c>
    </row>
    <row r="2" spans="1:9" x14ac:dyDescent="0.2">
      <c r="A2" s="8" t="s">
        <v>0</v>
      </c>
      <c r="B2" s="10"/>
      <c r="C2" s="1" t="s">
        <v>1</v>
      </c>
      <c r="D2" s="2"/>
      <c r="E2" s="2"/>
      <c r="F2" s="2"/>
      <c r="G2" s="2"/>
    </row>
    <row r="3" spans="1:9" x14ac:dyDescent="0.2">
      <c r="A3" s="11"/>
      <c r="B3" s="12"/>
      <c r="C3" s="3">
        <v>2021</v>
      </c>
      <c r="D3" s="3">
        <v>2022</v>
      </c>
      <c r="E3" s="3">
        <v>2023</v>
      </c>
      <c r="F3" s="3">
        <v>2024</v>
      </c>
      <c r="G3" s="13">
        <v>2025</v>
      </c>
    </row>
    <row r="4" spans="1:9" x14ac:dyDescent="0.2">
      <c r="A4" s="4">
        <v>1</v>
      </c>
      <c r="B4" s="4" t="s">
        <v>2</v>
      </c>
      <c r="C4" s="5">
        <v>11674.1</v>
      </c>
      <c r="D4" s="5">
        <v>12014.96</v>
      </c>
      <c r="E4" s="5">
        <v>15644.5</v>
      </c>
      <c r="F4" s="5">
        <v>13798.92</v>
      </c>
      <c r="G4" s="14">
        <v>16681.09</v>
      </c>
    </row>
    <row r="5" spans="1:9" x14ac:dyDescent="0.2">
      <c r="A5" s="4">
        <v>2</v>
      </c>
      <c r="B5" s="4" t="s">
        <v>3</v>
      </c>
      <c r="C5" s="5">
        <v>13745.06</v>
      </c>
      <c r="D5" s="5">
        <v>13859.09</v>
      </c>
      <c r="E5" s="5">
        <v>15902.8</v>
      </c>
      <c r="F5" s="5">
        <v>16857.009999999998</v>
      </c>
      <c r="G5" s="14">
        <v>22385.29</v>
      </c>
    </row>
    <row r="6" spans="1:9" x14ac:dyDescent="0.2">
      <c r="A6" s="4">
        <v>3</v>
      </c>
      <c r="B6" s="4" t="s">
        <v>4</v>
      </c>
      <c r="C6" s="5">
        <v>21375.13</v>
      </c>
      <c r="D6" s="5">
        <v>21514.66</v>
      </c>
      <c r="E6" s="5">
        <v>31194.400000000001</v>
      </c>
      <c r="F6" s="5">
        <v>19933.05</v>
      </c>
      <c r="G6" s="14">
        <v>20633.310000000001</v>
      </c>
    </row>
    <row r="7" spans="1:9" x14ac:dyDescent="0.2">
      <c r="A7" s="4">
        <v>4</v>
      </c>
      <c r="B7" s="4" t="s">
        <v>5</v>
      </c>
      <c r="C7" s="5">
        <v>8948.7000000000007</v>
      </c>
      <c r="D7" s="5">
        <v>9127.69</v>
      </c>
      <c r="E7" s="5">
        <v>10974.8</v>
      </c>
      <c r="F7" s="5">
        <v>12153.85</v>
      </c>
      <c r="G7" s="14">
        <v>12854.15</v>
      </c>
    </row>
    <row r="8" spans="1:9" x14ac:dyDescent="0.2">
      <c r="A8" s="4">
        <v>5</v>
      </c>
      <c r="B8" s="4" t="s">
        <v>6</v>
      </c>
      <c r="C8" s="5">
        <v>4638.46</v>
      </c>
      <c r="D8" s="5">
        <v>5760.1</v>
      </c>
      <c r="E8" s="5">
        <v>4920.8999999999996</v>
      </c>
      <c r="F8" s="5">
        <v>3698.01</v>
      </c>
      <c r="G8" s="14">
        <v>4271.78</v>
      </c>
    </row>
    <row r="9" spans="1:9" x14ac:dyDescent="0.2">
      <c r="A9" s="4">
        <v>6</v>
      </c>
      <c r="B9" s="4" t="s">
        <v>7</v>
      </c>
      <c r="C9" s="5">
        <v>13832.62</v>
      </c>
      <c r="D9" s="5">
        <v>15458.87</v>
      </c>
      <c r="E9" s="5">
        <v>12171.5</v>
      </c>
      <c r="F9" s="5">
        <v>13973.6</v>
      </c>
      <c r="G9" s="14">
        <v>13144.45</v>
      </c>
    </row>
    <row r="10" spans="1:9" x14ac:dyDescent="0.2">
      <c r="A10" s="4">
        <v>7</v>
      </c>
      <c r="B10" s="4" t="s">
        <v>8</v>
      </c>
      <c r="C10" s="5">
        <v>4348.01</v>
      </c>
      <c r="D10" s="5">
        <v>3329.27</v>
      </c>
      <c r="E10" s="5">
        <v>3355.5</v>
      </c>
      <c r="F10" s="5">
        <v>2779.88</v>
      </c>
      <c r="G10" s="14">
        <v>2528.89</v>
      </c>
    </row>
    <row r="11" spans="1:9" x14ac:dyDescent="0.2">
      <c r="A11" s="4">
        <v>8</v>
      </c>
      <c r="B11" s="4" t="s">
        <v>9</v>
      </c>
      <c r="C11" s="5">
        <v>21130.03</v>
      </c>
      <c r="D11" s="5">
        <v>21176.2</v>
      </c>
      <c r="E11" s="5">
        <v>22895.200000000001</v>
      </c>
      <c r="F11" s="5">
        <v>18595.189999999999</v>
      </c>
      <c r="G11" s="14">
        <v>18398.54</v>
      </c>
      <c r="I11" s="25"/>
    </row>
    <row r="12" spans="1:9" x14ac:dyDescent="0.2">
      <c r="A12" s="4">
        <v>9</v>
      </c>
      <c r="B12" s="4" t="s">
        <v>10</v>
      </c>
      <c r="C12" s="5">
        <v>3233.04</v>
      </c>
      <c r="D12" s="5">
        <v>3395.04</v>
      </c>
      <c r="E12" s="5">
        <v>3485.7</v>
      </c>
      <c r="F12" s="5">
        <v>2811.03</v>
      </c>
      <c r="G12" s="14">
        <v>3244.07</v>
      </c>
    </row>
    <row r="13" spans="1:9" x14ac:dyDescent="0.2">
      <c r="A13" s="4">
        <v>10</v>
      </c>
      <c r="B13" s="4" t="s">
        <v>11</v>
      </c>
      <c r="C13" s="5">
        <v>1453.07</v>
      </c>
      <c r="D13" s="5">
        <v>1390.39</v>
      </c>
      <c r="E13" s="5">
        <v>1820.9</v>
      </c>
      <c r="F13" s="5">
        <v>1815.6</v>
      </c>
      <c r="G13" s="14">
        <v>1103.6600000000001</v>
      </c>
    </row>
    <row r="14" spans="1:9" x14ac:dyDescent="0.2">
      <c r="A14" s="4">
        <v>11</v>
      </c>
      <c r="B14" s="4" t="s">
        <v>12</v>
      </c>
      <c r="C14" s="5">
        <v>16381.81</v>
      </c>
      <c r="D14" s="5">
        <v>17617.61</v>
      </c>
      <c r="E14" s="5">
        <v>17664.8</v>
      </c>
      <c r="F14" s="5">
        <v>11409.78</v>
      </c>
      <c r="G14" s="14">
        <v>16360.02</v>
      </c>
    </row>
    <row r="15" spans="1:9" x14ac:dyDescent="0.2">
      <c r="A15" s="4">
        <v>12</v>
      </c>
      <c r="B15" s="4" t="s">
        <v>13</v>
      </c>
      <c r="C15" s="5">
        <v>78134.539999999994</v>
      </c>
      <c r="D15" s="5">
        <v>84960.62</v>
      </c>
      <c r="E15" s="5">
        <v>76287.199999999997</v>
      </c>
      <c r="F15" s="5">
        <v>74762.09</v>
      </c>
      <c r="G15" s="14">
        <v>80333.7</v>
      </c>
    </row>
    <row r="16" spans="1:9" x14ac:dyDescent="0.2">
      <c r="A16" s="4">
        <v>13</v>
      </c>
      <c r="B16" s="4" t="s">
        <v>14</v>
      </c>
      <c r="C16" s="5">
        <v>65150.77</v>
      </c>
      <c r="D16" s="5">
        <v>61393.95</v>
      </c>
      <c r="E16" s="5">
        <v>65995.399999999994</v>
      </c>
      <c r="F16" s="5">
        <v>82965.81</v>
      </c>
      <c r="G16" s="14">
        <v>80520.58</v>
      </c>
    </row>
    <row r="17" spans="1:7" x14ac:dyDescent="0.2">
      <c r="A17" s="4">
        <v>14</v>
      </c>
      <c r="B17" s="4" t="s">
        <v>15</v>
      </c>
      <c r="C17" s="5">
        <v>7830.73</v>
      </c>
      <c r="D17" s="5">
        <v>7899.9</v>
      </c>
      <c r="E17" s="5">
        <v>7998.2</v>
      </c>
      <c r="F17" s="5">
        <v>8195.58</v>
      </c>
      <c r="G17" s="14">
        <v>9619.66</v>
      </c>
    </row>
    <row r="18" spans="1:7" x14ac:dyDescent="0.2">
      <c r="A18" s="4">
        <v>15</v>
      </c>
      <c r="B18" s="4" t="s">
        <v>16</v>
      </c>
      <c r="C18" s="5">
        <v>108284.07</v>
      </c>
      <c r="D18" s="5">
        <v>110991.18</v>
      </c>
      <c r="E18" s="5">
        <v>102711.7</v>
      </c>
      <c r="F18" s="5">
        <v>89882.91</v>
      </c>
      <c r="G18" s="14">
        <v>100852.7</v>
      </c>
    </row>
    <row r="19" spans="1:7" x14ac:dyDescent="0.2">
      <c r="A19" s="4">
        <v>16</v>
      </c>
      <c r="B19" s="4" t="s">
        <v>17</v>
      </c>
      <c r="C19" s="5">
        <v>17933.48</v>
      </c>
      <c r="D19" s="5">
        <v>17242.689999999999</v>
      </c>
      <c r="E19" s="5">
        <v>20754.599999999999</v>
      </c>
      <c r="F19" s="5">
        <v>21883.7</v>
      </c>
      <c r="G19" s="14">
        <v>14351.82</v>
      </c>
    </row>
    <row r="20" spans="1:7" x14ac:dyDescent="0.2">
      <c r="A20" s="4">
        <v>17</v>
      </c>
      <c r="B20" s="4" t="s">
        <v>18</v>
      </c>
      <c r="C20" s="5">
        <v>4650.67</v>
      </c>
      <c r="D20" s="5">
        <v>4694.03</v>
      </c>
      <c r="E20" s="5">
        <v>4076</v>
      </c>
      <c r="F20" s="5">
        <v>4184.7299999999996</v>
      </c>
      <c r="G20" s="14">
        <v>7951.53</v>
      </c>
    </row>
    <row r="21" spans="1:7" x14ac:dyDescent="0.2">
      <c r="A21" s="4">
        <v>18</v>
      </c>
      <c r="B21" s="4" t="s">
        <v>19</v>
      </c>
      <c r="C21" s="5">
        <v>11014.08</v>
      </c>
      <c r="D21" s="5">
        <v>11159.01</v>
      </c>
      <c r="E21" s="5">
        <v>10083.200000000001</v>
      </c>
      <c r="F21" s="5">
        <v>10917.03</v>
      </c>
      <c r="G21" s="14">
        <v>11271.46</v>
      </c>
    </row>
    <row r="22" spans="1:7" x14ac:dyDescent="0.2">
      <c r="A22" s="4">
        <v>19</v>
      </c>
      <c r="B22" s="4" t="s">
        <v>20</v>
      </c>
      <c r="C22" s="5">
        <v>8176.8</v>
      </c>
      <c r="D22" s="5">
        <v>8680.44</v>
      </c>
      <c r="E22" s="5">
        <v>9395.6</v>
      </c>
      <c r="F22" s="5">
        <v>5936.82</v>
      </c>
      <c r="G22" s="14">
        <v>5941.85</v>
      </c>
    </row>
    <row r="23" spans="1:7" x14ac:dyDescent="0.2">
      <c r="A23" s="4">
        <v>20</v>
      </c>
      <c r="B23" s="4" t="s">
        <v>21</v>
      </c>
      <c r="C23" s="5">
        <v>5119.5200000000004</v>
      </c>
      <c r="D23" s="5">
        <v>5095.8900000000003</v>
      </c>
      <c r="E23" s="5">
        <v>4726.1000000000004</v>
      </c>
      <c r="F23" s="5">
        <v>3325.74</v>
      </c>
      <c r="G23" s="14">
        <v>3419.94</v>
      </c>
    </row>
    <row r="24" spans="1:7" x14ac:dyDescent="0.2">
      <c r="A24" s="4">
        <v>21</v>
      </c>
      <c r="B24" s="4" t="s">
        <v>22</v>
      </c>
      <c r="C24" s="5">
        <v>3965.53</v>
      </c>
      <c r="D24" s="5">
        <v>4113.87</v>
      </c>
      <c r="E24" s="5">
        <v>4026.7</v>
      </c>
      <c r="F24" s="5">
        <v>2763.99</v>
      </c>
      <c r="G24" s="14">
        <v>2343.29</v>
      </c>
    </row>
    <row r="25" spans="1:7" x14ac:dyDescent="0.2">
      <c r="A25" s="4">
        <v>22</v>
      </c>
      <c r="B25" s="4" t="s">
        <v>23</v>
      </c>
      <c r="C25" s="5">
        <v>7328.53</v>
      </c>
      <c r="D25" s="5">
        <v>7351.35</v>
      </c>
      <c r="E25" s="5">
        <v>7892.4</v>
      </c>
      <c r="F25" s="5">
        <v>5253.64</v>
      </c>
      <c r="G25" s="14">
        <v>6749.88</v>
      </c>
    </row>
    <row r="26" spans="1:7" x14ac:dyDescent="0.2">
      <c r="A26" s="4">
        <v>23</v>
      </c>
      <c r="B26" s="4" t="s">
        <v>24</v>
      </c>
      <c r="C26" s="5">
        <v>7319.28</v>
      </c>
      <c r="D26" s="5">
        <v>7465.56</v>
      </c>
      <c r="E26" s="5">
        <v>7875.6</v>
      </c>
      <c r="F26" s="5">
        <v>6185.1</v>
      </c>
      <c r="G26" s="14">
        <v>6443.24</v>
      </c>
    </row>
    <row r="27" spans="1:7" x14ac:dyDescent="0.2">
      <c r="A27" s="4">
        <v>24</v>
      </c>
      <c r="B27" s="4" t="s">
        <v>25</v>
      </c>
      <c r="C27" s="5">
        <v>808.02</v>
      </c>
      <c r="D27" s="5">
        <v>895.57</v>
      </c>
      <c r="E27" s="5">
        <v>891.6</v>
      </c>
      <c r="F27" s="5">
        <v>602.28</v>
      </c>
      <c r="G27" s="14">
        <v>576.01</v>
      </c>
    </row>
    <row r="28" spans="1:7" x14ac:dyDescent="0.2">
      <c r="A28" s="4">
        <v>25</v>
      </c>
      <c r="B28" s="4" t="s">
        <v>26</v>
      </c>
      <c r="C28" s="5">
        <v>3103.44</v>
      </c>
      <c r="D28" s="5">
        <v>3169.39</v>
      </c>
      <c r="E28" s="5">
        <v>2032.2</v>
      </c>
      <c r="F28" s="5">
        <v>3390.26</v>
      </c>
      <c r="G28" s="14">
        <v>3706.5</v>
      </c>
    </row>
    <row r="29" spans="1:7" x14ac:dyDescent="0.2">
      <c r="A29" s="4">
        <v>26</v>
      </c>
      <c r="B29" s="4" t="s">
        <v>27</v>
      </c>
      <c r="C29" s="5">
        <v>5926.7</v>
      </c>
      <c r="D29" s="5">
        <v>5967.2</v>
      </c>
      <c r="E29" s="5">
        <v>5472.3</v>
      </c>
      <c r="F29" s="5">
        <v>4374.45</v>
      </c>
      <c r="G29" s="14">
        <v>4206.6000000000004</v>
      </c>
    </row>
    <row r="30" spans="1:7" x14ac:dyDescent="0.2">
      <c r="A30" s="4">
        <v>27</v>
      </c>
      <c r="B30" s="4" t="s">
        <v>28</v>
      </c>
      <c r="C30" s="5">
        <v>15366.14</v>
      </c>
      <c r="D30" s="5">
        <v>16277.51</v>
      </c>
      <c r="E30" s="5">
        <v>16181.3</v>
      </c>
      <c r="F30" s="5">
        <v>13394.17</v>
      </c>
      <c r="G30" s="14">
        <v>13962.5</v>
      </c>
    </row>
    <row r="31" spans="1:7" x14ac:dyDescent="0.2">
      <c r="A31" s="4">
        <v>28</v>
      </c>
      <c r="B31" s="4" t="s">
        <v>29</v>
      </c>
      <c r="C31" s="5">
        <v>4522.93</v>
      </c>
      <c r="D31" s="5">
        <v>4525.62</v>
      </c>
      <c r="E31" s="5">
        <v>5213.8</v>
      </c>
      <c r="F31" s="5">
        <v>6334.35</v>
      </c>
      <c r="G31" s="14">
        <v>6782.93</v>
      </c>
    </row>
    <row r="32" spans="1:7" x14ac:dyDescent="0.2">
      <c r="A32" s="4">
        <v>29</v>
      </c>
      <c r="B32" s="4" t="s">
        <v>30</v>
      </c>
      <c r="C32" s="5">
        <v>2899.38</v>
      </c>
      <c r="D32" s="5">
        <v>2918.75</v>
      </c>
      <c r="E32" s="5">
        <v>3137.5</v>
      </c>
      <c r="F32" s="5">
        <v>1663.45</v>
      </c>
      <c r="G32" s="14">
        <v>1881.41</v>
      </c>
    </row>
    <row r="33" spans="1:7" x14ac:dyDescent="0.2">
      <c r="A33" s="4">
        <v>30</v>
      </c>
      <c r="B33" s="4" t="s">
        <v>31</v>
      </c>
      <c r="C33" s="5">
        <v>1636.87</v>
      </c>
      <c r="D33" s="5">
        <v>1725.34</v>
      </c>
      <c r="E33" s="5">
        <v>1358.5</v>
      </c>
      <c r="F33" s="5">
        <v>986.01</v>
      </c>
      <c r="G33" s="14">
        <v>823.29</v>
      </c>
    </row>
    <row r="34" spans="1:7" x14ac:dyDescent="0.2">
      <c r="A34" s="4">
        <v>31</v>
      </c>
      <c r="B34" s="4" t="s">
        <v>32</v>
      </c>
      <c r="C34" s="5">
        <v>2306.54</v>
      </c>
      <c r="D34" s="5">
        <v>2308.12</v>
      </c>
      <c r="E34" s="5">
        <v>2555.6999999999998</v>
      </c>
      <c r="F34" s="5">
        <v>1042.5</v>
      </c>
      <c r="G34" s="14">
        <v>1005.62</v>
      </c>
    </row>
    <row r="35" spans="1:7" x14ac:dyDescent="0.2">
      <c r="A35" s="4">
        <v>32</v>
      </c>
      <c r="B35" s="4" t="s">
        <v>33</v>
      </c>
      <c r="C35" s="5">
        <v>1300.92</v>
      </c>
      <c r="D35" s="5">
        <v>1320.51</v>
      </c>
      <c r="E35" s="5">
        <v>950.1</v>
      </c>
      <c r="F35" s="5">
        <v>919.64</v>
      </c>
      <c r="G35" s="14">
        <v>1053.52</v>
      </c>
    </row>
    <row r="36" spans="1:7" x14ac:dyDescent="0.2">
      <c r="A36" s="4">
        <v>33</v>
      </c>
      <c r="B36" s="4" t="s">
        <v>34</v>
      </c>
      <c r="C36" s="5">
        <v>1832.35</v>
      </c>
      <c r="D36" s="5">
        <v>1506.02</v>
      </c>
      <c r="E36" s="5">
        <v>379.6</v>
      </c>
      <c r="F36" s="5">
        <v>363.95</v>
      </c>
      <c r="G36" s="14">
        <v>304.47000000000003</v>
      </c>
    </row>
    <row r="37" spans="1:7" x14ac:dyDescent="0.2">
      <c r="A37" s="4">
        <v>34</v>
      </c>
      <c r="B37" s="4" t="s">
        <v>35</v>
      </c>
      <c r="C37" s="5" t="s">
        <v>36</v>
      </c>
      <c r="D37" s="5" t="s">
        <v>36</v>
      </c>
      <c r="E37" s="5">
        <v>682.6</v>
      </c>
      <c r="F37" s="5">
        <v>444.82</v>
      </c>
      <c r="G37" s="14">
        <v>463.87</v>
      </c>
    </row>
    <row r="38" spans="1:7" x14ac:dyDescent="0.2">
      <c r="A38" s="4">
        <v>35</v>
      </c>
      <c r="B38" s="4" t="s">
        <v>37</v>
      </c>
      <c r="C38" s="5">
        <v>2430.88</v>
      </c>
      <c r="D38" s="5">
        <v>2616.77</v>
      </c>
      <c r="E38" s="5">
        <v>1150.9000000000001</v>
      </c>
      <c r="F38" s="5">
        <v>790.17</v>
      </c>
      <c r="G38" s="14">
        <v>696.72</v>
      </c>
    </row>
    <row r="39" spans="1:7" x14ac:dyDescent="0.2">
      <c r="A39" s="4">
        <v>36</v>
      </c>
      <c r="B39" s="4" t="s">
        <v>38</v>
      </c>
      <c r="C39" s="5" t="s">
        <v>36</v>
      </c>
      <c r="D39" s="5" t="s">
        <v>36</v>
      </c>
      <c r="E39" s="5">
        <v>721.6</v>
      </c>
      <c r="F39" s="5">
        <v>473.16</v>
      </c>
      <c r="G39" s="14">
        <v>634.98</v>
      </c>
    </row>
    <row r="40" spans="1:7" x14ac:dyDescent="0.2">
      <c r="A40" s="4">
        <v>37</v>
      </c>
      <c r="B40" s="4" t="s">
        <v>39</v>
      </c>
      <c r="C40" s="5" t="s">
        <v>36</v>
      </c>
      <c r="D40" s="5" t="s">
        <v>36</v>
      </c>
      <c r="E40" s="5">
        <v>710.8</v>
      </c>
      <c r="F40" s="5">
        <v>855.41</v>
      </c>
      <c r="G40" s="14">
        <v>848.42</v>
      </c>
    </row>
    <row r="41" spans="1:7" x14ac:dyDescent="0.2">
      <c r="A41" s="4">
        <v>38</v>
      </c>
      <c r="B41" s="4" t="s">
        <v>40</v>
      </c>
      <c r="C41" s="5" t="s">
        <v>36</v>
      </c>
      <c r="D41" s="5" t="s">
        <v>36</v>
      </c>
      <c r="E41" s="5">
        <v>214.4</v>
      </c>
      <c r="F41" s="5">
        <v>492.05</v>
      </c>
      <c r="G41" s="14">
        <v>798.23</v>
      </c>
    </row>
    <row r="42" spans="1:7" x14ac:dyDescent="0.2">
      <c r="A42" s="15">
        <v>39</v>
      </c>
      <c r="B42" s="15" t="s">
        <v>41</v>
      </c>
      <c r="C42" s="16">
        <v>487802.21</v>
      </c>
      <c r="D42" s="16">
        <v>498923.14</v>
      </c>
      <c r="E42" s="16">
        <v>503506.8</v>
      </c>
      <c r="F42" s="16">
        <v>470209.73</v>
      </c>
      <c r="G42" s="17">
        <v>499149.96</v>
      </c>
    </row>
    <row r="45" spans="1:7" x14ac:dyDescent="0.2">
      <c r="B45" s="6"/>
    </row>
    <row r="46" spans="1:7" x14ac:dyDescent="0.2">
      <c r="B46" s="6"/>
    </row>
  </sheetData>
  <pageMargins left="0.7" right="0.7" top="0.75" bottom="0.75" header="0.3" footer="0.3"/>
  <pageSetup paperSize="9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9" r:id="rId3" name="List Box 7">
              <controlPr defaultSize="0" autoLine="0" autoPict="0">
                <anchor moveWithCells="1">
                  <from>
                    <xdr:col>7</xdr:col>
                    <xdr:colOff>355600</xdr:colOff>
                    <xdr:row>0</xdr:row>
                    <xdr:rowOff>12700</xdr:rowOff>
                  </from>
                  <to>
                    <xdr:col>10</xdr:col>
                    <xdr:colOff>177800</xdr:colOff>
                    <xdr:row>34</xdr:row>
                    <xdr:rowOff>12700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39CA-13D8-B546-8EB8-E50C1F683335}">
  <dimension ref="A1:U123"/>
  <sheetViews>
    <sheetView topLeftCell="A98" zoomScale="134" zoomScaleNormal="177" workbookViewId="0">
      <selection activeCell="A114" sqref="A114:H123"/>
    </sheetView>
  </sheetViews>
  <sheetFormatPr baseColWidth="10" defaultRowHeight="16" x14ac:dyDescent="0.2"/>
  <cols>
    <col min="1" max="1" width="23.33203125" customWidth="1"/>
    <col min="2" max="2" width="21.33203125" customWidth="1"/>
    <col min="3" max="3" width="13.33203125" customWidth="1"/>
    <col min="4" max="4" width="18.5" customWidth="1"/>
    <col min="5" max="5" width="13" customWidth="1"/>
    <col min="6" max="6" width="13.5" customWidth="1"/>
    <col min="7" max="7" width="5.33203125" bestFit="1" customWidth="1"/>
    <col min="8" max="8" width="32.83203125" customWidth="1"/>
    <col min="9" max="9" width="22.5" customWidth="1"/>
    <col min="10" max="10" width="14.5" customWidth="1"/>
    <col min="11" max="11" width="40.1640625" customWidth="1"/>
    <col min="12" max="12" width="19.6640625" customWidth="1"/>
    <col min="13" max="13" width="5.1640625" customWidth="1"/>
    <col min="14" max="14" width="40.1640625" customWidth="1"/>
    <col min="15" max="15" width="21.33203125" customWidth="1"/>
    <col min="16" max="16" width="3.5" customWidth="1"/>
    <col min="17" max="17" width="40.1640625" customWidth="1"/>
    <col min="18" max="18" width="16" customWidth="1"/>
    <col min="19" max="19" width="7.5" bestFit="1" customWidth="1"/>
    <col min="20" max="20" width="40.1640625" customWidth="1"/>
    <col min="21" max="21" width="15.6640625" customWidth="1"/>
    <col min="22" max="22" width="8.6640625" bestFit="1" customWidth="1"/>
    <col min="23" max="24" width="7.5" bestFit="1" customWidth="1"/>
    <col min="25" max="25" width="9.6640625" bestFit="1" customWidth="1"/>
    <col min="26" max="26" width="8.6640625" bestFit="1" customWidth="1"/>
    <col min="27" max="35" width="9.6640625" bestFit="1" customWidth="1"/>
    <col min="37" max="37" width="1.83203125" bestFit="1" customWidth="1"/>
    <col min="38" max="38" width="38.6640625" bestFit="1" customWidth="1"/>
  </cols>
  <sheetData>
    <row r="1" spans="1:21" x14ac:dyDescent="0.2">
      <c r="A1" s="50" t="s">
        <v>1</v>
      </c>
      <c r="B1" s="51"/>
      <c r="C1" s="51"/>
      <c r="D1" s="51"/>
      <c r="E1" s="52"/>
      <c r="H1" s="8"/>
      <c r="I1" s="32"/>
      <c r="K1" s="7"/>
      <c r="L1" s="7"/>
      <c r="N1" s="7"/>
      <c r="O1" s="7"/>
      <c r="Q1" s="7"/>
      <c r="R1" s="7"/>
      <c r="T1" s="7"/>
      <c r="U1" s="7"/>
    </row>
    <row r="2" spans="1:21" x14ac:dyDescent="0.2">
      <c r="I2" s="19"/>
      <c r="J2" s="8"/>
      <c r="L2" s="19"/>
      <c r="M2" s="8"/>
      <c r="O2" s="19"/>
      <c r="R2" s="19"/>
      <c r="U2" s="19"/>
    </row>
    <row r="3" spans="1:21" x14ac:dyDescent="0.2">
      <c r="A3" s="49" t="s">
        <v>45</v>
      </c>
      <c r="B3" s="49"/>
      <c r="C3" s="49"/>
      <c r="D3" s="49" t="str" cm="1">
        <f t="array" ref="D3">INDEX('Tabel-bantuan'!A5:E5,MATCH(MODE(MATCH('Tabel-bantuan'!A5:E5,'Tabel-bantuan'!A5:E5,0)),MATCH('Tabel-bantuan'!A5:E5,'Tabel-bantuan'!A5:E5,0),0))</f>
        <v>JAWA TIMUR</v>
      </c>
      <c r="E3" s="49"/>
      <c r="I3" s="19"/>
      <c r="J3" s="19"/>
      <c r="L3" s="19"/>
      <c r="M3" s="19"/>
      <c r="O3" s="19"/>
      <c r="R3" s="19"/>
      <c r="U3" s="19"/>
    </row>
    <row r="4" spans="1:21" x14ac:dyDescent="0.2">
      <c r="A4">
        <v>2021</v>
      </c>
      <c r="B4">
        <v>2022</v>
      </c>
      <c r="C4">
        <v>2023</v>
      </c>
      <c r="D4">
        <v>2024</v>
      </c>
      <c r="E4">
        <v>2025</v>
      </c>
      <c r="I4" s="19"/>
      <c r="J4" s="19"/>
      <c r="L4" s="19"/>
      <c r="M4" s="19"/>
      <c r="O4" s="19"/>
      <c r="R4" s="19"/>
      <c r="U4" s="19"/>
    </row>
    <row r="5" spans="1:21" x14ac:dyDescent="0.2">
      <c r="A5" t="str">
        <f>INDEX(Data!B3:B41, MATCH(MAX(Data!C3:C41), Data!C3:C41, 0))</f>
        <v>JAWA TIMUR</v>
      </c>
      <c r="B5" t="str">
        <f>INDEX(Data!B3:B41, MATCH(MAX(Data!D3:D41), Data!D3:D41, 0))</f>
        <v>JAWA TIMUR</v>
      </c>
      <c r="C5" t="str">
        <f>INDEX(Data!B3:B41, MATCH(MAX(Data!E3:E41), Data!E3:E41, 0))</f>
        <v>JAWA TIMUR</v>
      </c>
      <c r="D5" t="str">
        <f>INDEX(Data!B3:B41, MATCH(MAX(Data!F3:F41), Data!F3:F41, 0))</f>
        <v>JAWA TIMUR</v>
      </c>
      <c r="E5" t="str">
        <f>INDEX(Data!B3:B41, MATCH(MAX(Data!G3:G41), Data!G3:G41, 0))</f>
        <v>JAWA TIMUR</v>
      </c>
      <c r="I5" s="19"/>
      <c r="J5" s="19"/>
      <c r="L5" s="19"/>
      <c r="M5" s="19"/>
      <c r="O5" s="19"/>
      <c r="R5" s="19"/>
      <c r="U5" s="19"/>
    </row>
    <row r="6" spans="1:21" x14ac:dyDescent="0.2">
      <c r="I6" s="19"/>
      <c r="J6" s="19"/>
      <c r="L6" s="19"/>
      <c r="M6" s="19"/>
      <c r="O6" s="19"/>
      <c r="R6" s="19"/>
      <c r="U6" s="19"/>
    </row>
    <row r="7" spans="1:21" x14ac:dyDescent="0.2">
      <c r="A7" t="s">
        <v>48</v>
      </c>
      <c r="B7" s="7">
        <v>7</v>
      </c>
      <c r="D7" t="s">
        <v>77</v>
      </c>
      <c r="E7">
        <f>COUNTIF(O53:O90,B9)</f>
        <v>10</v>
      </c>
      <c r="H7" s="8" t="s">
        <v>76</v>
      </c>
      <c r="I7" s="49" t="s">
        <v>80</v>
      </c>
      <c r="J7" s="49"/>
      <c r="K7" s="24"/>
      <c r="L7" s="19"/>
      <c r="M7" s="19"/>
      <c r="O7" s="19"/>
      <c r="R7" s="19"/>
      <c r="U7" s="19"/>
    </row>
    <row r="8" spans="1:21" x14ac:dyDescent="0.2">
      <c r="A8" t="s">
        <v>55</v>
      </c>
      <c r="B8" s="8" t="str">
        <f>VLOOKUP('Tabel-bantuan'!B7,Data!$A$4:$B$41,2,FALSE)</f>
        <v>BENGKULU</v>
      </c>
      <c r="D8" t="s">
        <v>79</v>
      </c>
      <c r="E8">
        <f>VLOOKUP(B8,A53:H90,8,FALSE)</f>
        <v>16341.55</v>
      </c>
      <c r="H8" s="8">
        <f>COUNTIFS(O53:O90,B9,H53:H90,"&gt;" &amp; E8) + 1</f>
        <v>8</v>
      </c>
      <c r="I8" t="s">
        <v>82</v>
      </c>
      <c r="J8">
        <f>E8</f>
        <v>16341.55</v>
      </c>
      <c r="L8" s="19"/>
      <c r="M8" s="19"/>
      <c r="O8" s="19"/>
      <c r="R8" s="19"/>
      <c r="U8" s="19"/>
    </row>
    <row r="9" spans="1:21" x14ac:dyDescent="0.2">
      <c r="A9" t="s">
        <v>74</v>
      </c>
      <c r="B9" s="7" t="str">
        <f>VLOOKUP($B$8,$A$53:$O$90,15,FALSE)</f>
        <v>SUMATERA</v>
      </c>
      <c r="D9" t="s">
        <v>78</v>
      </c>
      <c r="E9">
        <f>VLOOKUP(B9,A93:B98,2,FALSE)</f>
        <v>531679.56000000006</v>
      </c>
      <c r="I9" t="s">
        <v>84</v>
      </c>
      <c r="J9">
        <f>E9-E8</f>
        <v>515338.01000000007</v>
      </c>
      <c r="L9" s="19"/>
      <c r="M9" s="19"/>
      <c r="O9" s="19"/>
      <c r="R9" s="19"/>
      <c r="U9" s="19"/>
    </row>
    <row r="10" spans="1:21" x14ac:dyDescent="0.2">
      <c r="A10" t="s">
        <v>57</v>
      </c>
      <c r="I10" s="19"/>
      <c r="J10" s="19"/>
      <c r="L10" s="19"/>
      <c r="M10" s="19"/>
      <c r="O10" s="19"/>
      <c r="R10" s="19"/>
      <c r="U10" s="19"/>
    </row>
    <row r="11" spans="1:21" x14ac:dyDescent="0.2">
      <c r="A11">
        <v>1</v>
      </c>
      <c r="B11">
        <v>2021</v>
      </c>
      <c r="C11">
        <f>VLOOKUP($B$8,Data!$B$4:$G$41,A11+1,FALSE)</f>
        <v>4348.01</v>
      </c>
      <c r="I11" s="19"/>
      <c r="J11" s="19"/>
      <c r="L11" s="19"/>
      <c r="M11" s="19"/>
      <c r="O11" s="19"/>
      <c r="R11" s="19"/>
      <c r="U11" s="19"/>
    </row>
    <row r="12" spans="1:21" x14ac:dyDescent="0.2">
      <c r="A12">
        <v>2</v>
      </c>
      <c r="B12">
        <v>2022</v>
      </c>
      <c r="C12">
        <f>VLOOKUP($B$8,Data!$B$4:$G$41,A12+1,FALSE)</f>
        <v>3329.27</v>
      </c>
      <c r="I12" s="19"/>
      <c r="J12" s="19"/>
      <c r="L12" s="19"/>
      <c r="M12" s="19"/>
      <c r="O12" s="19"/>
      <c r="R12" s="19"/>
      <c r="U12" s="19"/>
    </row>
    <row r="13" spans="1:21" x14ac:dyDescent="0.2">
      <c r="A13">
        <v>3</v>
      </c>
      <c r="B13">
        <v>2023</v>
      </c>
      <c r="C13">
        <f>VLOOKUP($B$8,Data!$B$4:$G$41,A13+1,FALSE)</f>
        <v>3355.5</v>
      </c>
      <c r="I13" s="19"/>
      <c r="J13" s="19"/>
      <c r="L13" s="19"/>
      <c r="M13" s="19"/>
      <c r="O13" s="19"/>
      <c r="R13" s="19"/>
      <c r="U13" s="19"/>
    </row>
    <row r="14" spans="1:21" x14ac:dyDescent="0.2">
      <c r="A14">
        <v>4</v>
      </c>
      <c r="B14">
        <v>2024</v>
      </c>
      <c r="C14">
        <f>VLOOKUP($B$8,Data!$B$4:$G$41,A14+1,FALSE)</f>
        <v>2779.88</v>
      </c>
      <c r="I14" s="19"/>
      <c r="J14" s="19"/>
      <c r="L14" s="19"/>
      <c r="M14" s="19"/>
      <c r="O14" s="19"/>
      <c r="R14" s="19"/>
      <c r="U14" s="19"/>
    </row>
    <row r="15" spans="1:21" x14ac:dyDescent="0.2">
      <c r="A15">
        <v>5</v>
      </c>
      <c r="B15">
        <v>2025</v>
      </c>
      <c r="C15">
        <f>VLOOKUP($B$8,Data!$B$4:$G$41,A15+1,FALSE)</f>
        <v>2528.89</v>
      </c>
      <c r="I15" s="19"/>
      <c r="J15" s="19"/>
      <c r="L15" s="19"/>
      <c r="M15" s="19"/>
      <c r="O15" s="19"/>
      <c r="R15" s="19"/>
      <c r="U15" s="19"/>
    </row>
    <row r="16" spans="1:21" x14ac:dyDescent="0.2">
      <c r="I16" s="19"/>
      <c r="J16" s="19"/>
      <c r="L16" s="19"/>
      <c r="M16" s="19"/>
      <c r="O16" s="19"/>
      <c r="R16" s="19"/>
      <c r="U16" s="19"/>
    </row>
    <row r="17" spans="1:21" x14ac:dyDescent="0.2">
      <c r="I17" s="19"/>
      <c r="J17" s="19"/>
      <c r="L17" s="19"/>
      <c r="M17" s="19"/>
      <c r="O17" s="19"/>
      <c r="R17" s="19"/>
      <c r="U17" s="19"/>
    </row>
    <row r="18" spans="1:21" x14ac:dyDescent="0.2">
      <c r="I18" s="19"/>
      <c r="J18" s="19"/>
      <c r="L18" s="19"/>
      <c r="M18" s="19"/>
      <c r="O18" s="19"/>
      <c r="R18" s="19"/>
      <c r="U18" s="19"/>
    </row>
    <row r="19" spans="1:21" x14ac:dyDescent="0.2">
      <c r="I19" s="19"/>
      <c r="J19" s="19"/>
      <c r="L19" s="19"/>
      <c r="M19" s="19"/>
      <c r="O19" s="19"/>
      <c r="R19" s="19"/>
      <c r="U19" s="19"/>
    </row>
    <row r="20" spans="1:21" x14ac:dyDescent="0.2">
      <c r="I20" s="19"/>
      <c r="J20" s="19"/>
      <c r="L20" s="19"/>
      <c r="M20" s="19"/>
      <c r="O20" s="19"/>
      <c r="R20" s="19"/>
      <c r="U20" s="19"/>
    </row>
    <row r="21" spans="1:21" x14ac:dyDescent="0.2">
      <c r="I21" s="19"/>
      <c r="J21" s="19"/>
      <c r="L21" s="19"/>
      <c r="M21" s="19"/>
      <c r="O21" s="19"/>
      <c r="R21" s="19"/>
      <c r="U21" s="19"/>
    </row>
    <row r="22" spans="1:21" x14ac:dyDescent="0.2">
      <c r="I22" s="19"/>
      <c r="J22" s="19"/>
      <c r="L22" s="19"/>
      <c r="M22" s="19"/>
      <c r="O22" s="19"/>
      <c r="R22" s="19"/>
      <c r="U22" s="19"/>
    </row>
    <row r="23" spans="1:21" x14ac:dyDescent="0.2">
      <c r="I23" s="19"/>
      <c r="J23" s="19"/>
      <c r="L23" s="19"/>
      <c r="M23" s="19"/>
      <c r="O23" s="19"/>
      <c r="R23" s="19"/>
      <c r="U23" s="19"/>
    </row>
    <row r="24" spans="1:21" x14ac:dyDescent="0.2">
      <c r="I24" s="19"/>
      <c r="J24" s="19"/>
      <c r="L24" s="19"/>
      <c r="M24" s="19"/>
      <c r="O24" s="19"/>
      <c r="R24" s="19"/>
      <c r="U24" s="19"/>
    </row>
    <row r="25" spans="1:21" x14ac:dyDescent="0.2">
      <c r="I25" s="19"/>
      <c r="J25" s="19"/>
      <c r="L25" s="19"/>
      <c r="M25" s="19"/>
      <c r="O25" s="19"/>
      <c r="R25" s="19"/>
      <c r="U25" s="19"/>
    </row>
    <row r="26" spans="1:21" x14ac:dyDescent="0.2">
      <c r="I26" s="19"/>
      <c r="J26" s="19"/>
      <c r="L26" s="19"/>
      <c r="M26" s="19"/>
      <c r="O26" s="19"/>
      <c r="R26" s="19"/>
      <c r="U26" s="19"/>
    </row>
    <row r="27" spans="1:21" x14ac:dyDescent="0.2">
      <c r="I27" s="19"/>
      <c r="J27" s="19"/>
      <c r="L27" s="19"/>
      <c r="M27" s="19"/>
      <c r="O27" s="19"/>
      <c r="R27" s="19"/>
      <c r="U27" s="19"/>
    </row>
    <row r="28" spans="1:21" x14ac:dyDescent="0.2">
      <c r="I28" s="19"/>
      <c r="J28" s="19"/>
      <c r="L28" s="19"/>
      <c r="M28" s="19"/>
      <c r="O28" s="19"/>
      <c r="R28" s="19"/>
      <c r="U28" s="19"/>
    </row>
    <row r="29" spans="1:21" x14ac:dyDescent="0.2">
      <c r="I29" s="19"/>
      <c r="J29" s="19"/>
      <c r="L29" s="19"/>
      <c r="M29" s="19"/>
      <c r="O29" s="19"/>
      <c r="R29" s="19"/>
      <c r="U29" s="19"/>
    </row>
    <row r="30" spans="1:21" x14ac:dyDescent="0.2">
      <c r="A30" s="49" t="s">
        <v>58</v>
      </c>
      <c r="B30" s="49"/>
      <c r="I30" s="19"/>
      <c r="J30" s="19"/>
      <c r="L30" s="19"/>
      <c r="M30" s="19"/>
      <c r="O30" s="19"/>
      <c r="R30" s="19"/>
      <c r="U30" s="19"/>
    </row>
    <row r="31" spans="1:21" x14ac:dyDescent="0.2">
      <c r="A31">
        <v>1</v>
      </c>
      <c r="B31">
        <v>2021</v>
      </c>
      <c r="C31">
        <f>C11</f>
        <v>4348.01</v>
      </c>
      <c r="I31" s="19"/>
      <c r="J31" s="19"/>
      <c r="L31" s="19"/>
      <c r="M31" s="19"/>
      <c r="O31" s="19"/>
      <c r="R31" s="19"/>
      <c r="U31" s="19"/>
    </row>
    <row r="32" spans="1:21" x14ac:dyDescent="0.2">
      <c r="A32">
        <v>2</v>
      </c>
      <c r="B32">
        <v>2022</v>
      </c>
      <c r="C32">
        <f>C12-C11</f>
        <v>-1018.7400000000002</v>
      </c>
      <c r="I32" s="19"/>
      <c r="J32" s="19"/>
      <c r="L32" s="19"/>
      <c r="M32" s="19"/>
      <c r="O32" s="19"/>
      <c r="R32" s="19"/>
      <c r="U32" s="19"/>
    </row>
    <row r="33" spans="1:21" x14ac:dyDescent="0.2">
      <c r="A33">
        <v>3</v>
      </c>
      <c r="B33">
        <v>2023</v>
      </c>
      <c r="C33">
        <f>C13-C12</f>
        <v>26.230000000000018</v>
      </c>
      <c r="I33" s="19"/>
      <c r="J33" s="19"/>
      <c r="L33" s="19"/>
      <c r="M33" s="19"/>
      <c r="O33" s="19"/>
      <c r="R33" s="19"/>
      <c r="U33" s="19"/>
    </row>
    <row r="34" spans="1:21" x14ac:dyDescent="0.2">
      <c r="A34">
        <v>4</v>
      </c>
      <c r="B34">
        <v>2024</v>
      </c>
      <c r="C34">
        <f>C14-C13</f>
        <v>-575.61999999999989</v>
      </c>
      <c r="I34" s="19"/>
      <c r="J34" s="19"/>
      <c r="L34" s="19"/>
      <c r="M34" s="19"/>
      <c r="O34" s="19"/>
      <c r="R34" s="19"/>
      <c r="U34" s="19"/>
    </row>
    <row r="35" spans="1:21" x14ac:dyDescent="0.2">
      <c r="A35">
        <v>5</v>
      </c>
      <c r="B35">
        <v>2025</v>
      </c>
      <c r="C35">
        <f>C15-C14</f>
        <v>-250.99000000000024</v>
      </c>
      <c r="I35" s="19"/>
      <c r="J35" s="19"/>
      <c r="L35" s="19"/>
      <c r="M35" s="19"/>
      <c r="O35" s="19"/>
      <c r="R35" s="19"/>
      <c r="U35" s="19"/>
    </row>
    <row r="36" spans="1:21" x14ac:dyDescent="0.2">
      <c r="I36" s="19"/>
      <c r="J36" s="19"/>
      <c r="L36" s="19"/>
      <c r="M36" s="19"/>
      <c r="O36" s="19"/>
      <c r="R36" s="19"/>
      <c r="U36" s="19"/>
    </row>
    <row r="37" spans="1:21" x14ac:dyDescent="0.2">
      <c r="I37" s="19"/>
      <c r="J37" s="19"/>
      <c r="L37" s="19"/>
      <c r="M37" s="19"/>
      <c r="O37" s="19"/>
      <c r="R37" s="19"/>
      <c r="U37" s="19"/>
    </row>
    <row r="38" spans="1:21" x14ac:dyDescent="0.2">
      <c r="I38" s="19"/>
      <c r="J38" s="19"/>
      <c r="L38" s="19"/>
      <c r="M38" s="19"/>
      <c r="O38" s="19"/>
      <c r="R38" s="19"/>
      <c r="U38" s="19"/>
    </row>
    <row r="39" spans="1:21" x14ac:dyDescent="0.2">
      <c r="I39" s="19"/>
      <c r="J39" s="19"/>
      <c r="L39" s="19"/>
      <c r="M39" s="19"/>
      <c r="O39" s="19"/>
      <c r="R39" s="19"/>
      <c r="U39" s="19"/>
    </row>
    <row r="40" spans="1:21" x14ac:dyDescent="0.2">
      <c r="I40" s="19"/>
      <c r="J40" s="19"/>
      <c r="K40" s="8"/>
      <c r="L40" s="8"/>
      <c r="M40" s="19"/>
      <c r="N40" s="8"/>
      <c r="O40" s="8"/>
      <c r="Q40" s="8"/>
      <c r="R40" s="8"/>
      <c r="T40" s="8"/>
      <c r="U40" s="8"/>
    </row>
    <row r="42" spans="1:21" x14ac:dyDescent="0.2">
      <c r="J42" s="8"/>
      <c r="K42" s="8"/>
      <c r="L42" s="8"/>
      <c r="M42" s="8"/>
    </row>
    <row r="43" spans="1:21" x14ac:dyDescent="0.2">
      <c r="J43" s="19"/>
      <c r="K43" s="19"/>
      <c r="L43" s="19"/>
      <c r="M43" s="19"/>
    </row>
    <row r="44" spans="1:21" x14ac:dyDescent="0.2">
      <c r="J44" s="19"/>
      <c r="K44" s="19"/>
      <c r="L44" s="19"/>
      <c r="M44" s="19"/>
    </row>
    <row r="45" spans="1:21" x14ac:dyDescent="0.2">
      <c r="J45" s="19"/>
      <c r="K45" s="19"/>
      <c r="L45" s="19"/>
      <c r="M45" s="19"/>
    </row>
    <row r="46" spans="1:21" x14ac:dyDescent="0.2">
      <c r="J46" s="19"/>
      <c r="K46" s="19"/>
      <c r="L46" s="19"/>
      <c r="M46" s="19"/>
    </row>
    <row r="47" spans="1:21" x14ac:dyDescent="0.2">
      <c r="J47" s="19"/>
      <c r="K47" s="19"/>
      <c r="L47" s="19"/>
      <c r="M47" s="19"/>
    </row>
    <row r="48" spans="1:21" x14ac:dyDescent="0.2">
      <c r="J48" s="19"/>
      <c r="K48" s="19"/>
      <c r="L48" s="19"/>
      <c r="M48" s="19"/>
    </row>
    <row r="49" spans="1:15" x14ac:dyDescent="0.2">
      <c r="J49" s="19"/>
      <c r="K49" s="19"/>
      <c r="L49" s="19"/>
      <c r="M49" s="19"/>
    </row>
    <row r="50" spans="1:15" x14ac:dyDescent="0.2">
      <c r="J50" s="19"/>
      <c r="K50" s="19"/>
      <c r="L50" s="19"/>
      <c r="M50" s="19"/>
    </row>
    <row r="51" spans="1:15" x14ac:dyDescent="0.2">
      <c r="J51" s="19"/>
      <c r="K51" s="19"/>
      <c r="L51" s="19"/>
      <c r="M51" s="19"/>
    </row>
    <row r="52" spans="1:15" x14ac:dyDescent="0.2">
      <c r="A52" s="18"/>
      <c r="B52" s="3">
        <v>2021</v>
      </c>
      <c r="C52" s="3">
        <v>2022</v>
      </c>
      <c r="D52" s="3">
        <v>2023</v>
      </c>
      <c r="E52" s="3">
        <v>2024</v>
      </c>
      <c r="F52" s="3">
        <v>2025</v>
      </c>
      <c r="H52" s="26" t="s">
        <v>60</v>
      </c>
      <c r="I52" s="4" t="s">
        <v>61</v>
      </c>
      <c r="J52" s="19"/>
      <c r="K52" s="5" t="s">
        <v>73</v>
      </c>
      <c r="L52" s="5" t="s">
        <v>62</v>
      </c>
      <c r="M52" s="19"/>
      <c r="N52" s="5" t="s">
        <v>63</v>
      </c>
      <c r="O52" s="31" t="s">
        <v>74</v>
      </c>
    </row>
    <row r="53" spans="1:15" x14ac:dyDescent="0.2">
      <c r="A53" s="20" t="s">
        <v>2</v>
      </c>
      <c r="B53" s="5">
        <v>11674.1</v>
      </c>
      <c r="C53" s="5">
        <v>12014.96</v>
      </c>
      <c r="D53" s="5">
        <v>15644.5</v>
      </c>
      <c r="E53" s="5">
        <v>13798.92</v>
      </c>
      <c r="F53" s="5">
        <v>16681.09</v>
      </c>
      <c r="H53" s="27">
        <f>SUM($B53:$F53)</f>
        <v>69813.569999999992</v>
      </c>
      <c r="I53" s="4">
        <f>RANK(H53,$H$53:$H$90,0)</f>
        <v>10</v>
      </c>
      <c r="J53" s="19"/>
      <c r="K53" s="3" t="str">
        <f>(ROUNDUP(H53/(SUM($H$53:$H$90)),4))*100 &amp; "%"</f>
        <v>2,84%</v>
      </c>
      <c r="L53" s="5">
        <f>MAX($B53,$C53,$D53,$E53,$F53)</f>
        <v>16681.09</v>
      </c>
      <c r="M53" s="19"/>
      <c r="N53" s="28">
        <f>INDEX($B$52:$F$52, MATCH($L53,$B53:$F53,0))</f>
        <v>2025</v>
      </c>
      <c r="O53" s="31" t="s">
        <v>66</v>
      </c>
    </row>
    <row r="54" spans="1:15" x14ac:dyDescent="0.2">
      <c r="A54" s="20" t="s">
        <v>3</v>
      </c>
      <c r="B54" s="5">
        <v>13745.06</v>
      </c>
      <c r="C54" s="5">
        <v>13859.09</v>
      </c>
      <c r="D54" s="5">
        <v>15902.8</v>
      </c>
      <c r="E54" s="5">
        <v>16857.009999999998</v>
      </c>
      <c r="F54" s="5">
        <v>22385.29</v>
      </c>
      <c r="H54" s="27">
        <f>SUM($B54:$F54)</f>
        <v>82749.25</v>
      </c>
      <c r="I54" s="4">
        <f t="shared" ref="I54:I90" si="0">RANK(H54,$H$53:$H$90,0)</f>
        <v>7</v>
      </c>
      <c r="J54" s="19"/>
      <c r="K54" s="3" t="str">
        <f t="shared" ref="K54:K90" si="1">(ROUNDUP(H54/(SUM($H$53:$H$90)),4))*100 &amp; "%"</f>
        <v>3,37%</v>
      </c>
      <c r="L54" s="5">
        <f t="shared" ref="L54:L90" si="2">MAX($B54,$C54,$D54,$E54,$F54)</f>
        <v>22385.29</v>
      </c>
      <c r="M54" s="19"/>
      <c r="N54" s="28">
        <f t="shared" ref="N54:N89" si="3">INDEX($B$52:$F$52, MATCH($L54,$B54:$F54,0))</f>
        <v>2025</v>
      </c>
      <c r="O54" s="31" t="s">
        <v>66</v>
      </c>
    </row>
    <row r="55" spans="1:15" x14ac:dyDescent="0.2">
      <c r="A55" s="20" t="s">
        <v>4</v>
      </c>
      <c r="B55" s="5">
        <v>21375.13</v>
      </c>
      <c r="C55" s="5">
        <v>21514.66</v>
      </c>
      <c r="D55" s="5">
        <v>31194.400000000001</v>
      </c>
      <c r="E55" s="5">
        <v>19933.05</v>
      </c>
      <c r="F55" s="5">
        <v>20633.310000000001</v>
      </c>
      <c r="H55" s="27">
        <f t="shared" ref="H55:H90" si="4">SUM($B55:$F55)</f>
        <v>114650.55</v>
      </c>
      <c r="I55" s="4">
        <f t="shared" si="0"/>
        <v>4</v>
      </c>
      <c r="J55" s="19"/>
      <c r="K55" s="3" t="str">
        <f t="shared" si="1"/>
        <v>4,67%</v>
      </c>
      <c r="L55" s="5">
        <f t="shared" si="2"/>
        <v>31194.400000000001</v>
      </c>
      <c r="M55" s="19"/>
      <c r="N55" s="28">
        <f t="shared" si="3"/>
        <v>2023</v>
      </c>
      <c r="O55" s="31" t="s">
        <v>66</v>
      </c>
    </row>
    <row r="56" spans="1:15" x14ac:dyDescent="0.2">
      <c r="A56" s="20" t="s">
        <v>5</v>
      </c>
      <c r="B56" s="5">
        <v>8948.7000000000007</v>
      </c>
      <c r="C56" s="5">
        <v>9127.69</v>
      </c>
      <c r="D56" s="5">
        <v>10974.8</v>
      </c>
      <c r="E56" s="5">
        <v>12153.85</v>
      </c>
      <c r="F56" s="5">
        <v>12854.15</v>
      </c>
      <c r="H56" s="27">
        <f t="shared" si="4"/>
        <v>54059.19</v>
      </c>
      <c r="I56" s="4">
        <f t="shared" si="0"/>
        <v>13</v>
      </c>
      <c r="J56" s="19"/>
      <c r="K56" s="3" t="str">
        <f t="shared" si="1"/>
        <v>2,2%</v>
      </c>
      <c r="L56" s="5">
        <f t="shared" si="2"/>
        <v>12854.15</v>
      </c>
      <c r="M56" s="19"/>
      <c r="N56" s="28">
        <f t="shared" si="3"/>
        <v>2025</v>
      </c>
      <c r="O56" s="31" t="s">
        <v>66</v>
      </c>
    </row>
    <row r="57" spans="1:15" x14ac:dyDescent="0.2">
      <c r="A57" s="20" t="s">
        <v>6</v>
      </c>
      <c r="B57" s="5">
        <v>4638.46</v>
      </c>
      <c r="C57" s="5">
        <v>5760.1</v>
      </c>
      <c r="D57" s="5">
        <v>4920.8999999999996</v>
      </c>
      <c r="E57" s="5">
        <v>3698.01</v>
      </c>
      <c r="F57" s="5">
        <v>4271.78</v>
      </c>
      <c r="H57" s="27">
        <f t="shared" si="4"/>
        <v>23289.25</v>
      </c>
      <c r="I57" s="4">
        <f t="shared" si="0"/>
        <v>21</v>
      </c>
      <c r="J57" s="19"/>
      <c r="K57" s="3" t="str">
        <f t="shared" si="1"/>
        <v>0,95%</v>
      </c>
      <c r="L57" s="5">
        <f t="shared" si="2"/>
        <v>5760.1</v>
      </c>
      <c r="M57" s="19"/>
      <c r="N57" s="28">
        <f t="shared" si="3"/>
        <v>2022</v>
      </c>
      <c r="O57" s="31" t="s">
        <v>66</v>
      </c>
    </row>
    <row r="58" spans="1:15" x14ac:dyDescent="0.2">
      <c r="A58" s="20" t="s">
        <v>7</v>
      </c>
      <c r="B58" s="5">
        <v>13832.62</v>
      </c>
      <c r="C58" s="5">
        <v>15458.87</v>
      </c>
      <c r="D58" s="5">
        <v>12171.5</v>
      </c>
      <c r="E58" s="5">
        <v>13973.6</v>
      </c>
      <c r="F58" s="5">
        <v>13144.45</v>
      </c>
      <c r="H58" s="27">
        <f t="shared" si="4"/>
        <v>68581.040000000008</v>
      </c>
      <c r="I58" s="4">
        <f t="shared" si="0"/>
        <v>11</v>
      </c>
      <c r="J58" s="19"/>
      <c r="K58" s="3" t="str">
        <f t="shared" si="1"/>
        <v>2,79%</v>
      </c>
      <c r="L58" s="5">
        <f t="shared" si="2"/>
        <v>15458.87</v>
      </c>
      <c r="M58" s="19"/>
      <c r="N58" s="28">
        <f t="shared" si="3"/>
        <v>2022</v>
      </c>
      <c r="O58" s="31" t="s">
        <v>66</v>
      </c>
    </row>
    <row r="59" spans="1:15" x14ac:dyDescent="0.2">
      <c r="A59" s="20" t="s">
        <v>8</v>
      </c>
      <c r="B59" s="5">
        <v>4348.01</v>
      </c>
      <c r="C59" s="5">
        <v>3329.27</v>
      </c>
      <c r="D59" s="5">
        <v>3355.5</v>
      </c>
      <c r="E59" s="5">
        <v>2779.88</v>
      </c>
      <c r="F59" s="5">
        <v>2528.89</v>
      </c>
      <c r="H59" s="27">
        <f t="shared" si="4"/>
        <v>16341.55</v>
      </c>
      <c r="I59" s="4">
        <f t="shared" si="0"/>
        <v>24</v>
      </c>
      <c r="J59" s="19"/>
      <c r="K59" s="3" t="str">
        <f t="shared" si="1"/>
        <v>0,67%</v>
      </c>
      <c r="L59" s="5">
        <f t="shared" si="2"/>
        <v>4348.01</v>
      </c>
      <c r="M59" s="19"/>
      <c r="N59" s="28">
        <f t="shared" si="3"/>
        <v>2021</v>
      </c>
      <c r="O59" s="31" t="s">
        <v>66</v>
      </c>
    </row>
    <row r="60" spans="1:15" x14ac:dyDescent="0.2">
      <c r="A60" s="20" t="s">
        <v>9</v>
      </c>
      <c r="B60" s="5">
        <v>21130.03</v>
      </c>
      <c r="C60" s="5">
        <v>21176.2</v>
      </c>
      <c r="D60" s="5">
        <v>22895.200000000001</v>
      </c>
      <c r="E60" s="5">
        <v>18595.189999999999</v>
      </c>
      <c r="F60" s="5">
        <v>18398.54</v>
      </c>
      <c r="H60" s="27">
        <f t="shared" si="4"/>
        <v>102195.16</v>
      </c>
      <c r="I60" s="4">
        <f t="shared" si="0"/>
        <v>5</v>
      </c>
      <c r="J60" s="19"/>
      <c r="K60" s="3" t="str">
        <f t="shared" si="1"/>
        <v>4,16%</v>
      </c>
      <c r="L60" s="5">
        <f t="shared" si="2"/>
        <v>22895.200000000001</v>
      </c>
      <c r="M60" s="19"/>
      <c r="N60" s="28">
        <f t="shared" si="3"/>
        <v>2023</v>
      </c>
      <c r="O60" s="31" t="s">
        <v>66</v>
      </c>
    </row>
    <row r="61" spans="1:15" x14ac:dyDescent="0.2">
      <c r="A61" s="20" t="s">
        <v>10</v>
      </c>
      <c r="B61" s="5">
        <v>3233.04</v>
      </c>
      <c r="C61" s="5">
        <v>3395.04</v>
      </c>
      <c r="D61" s="5">
        <v>3485.7</v>
      </c>
      <c r="E61" s="5">
        <v>2811.03</v>
      </c>
      <c r="F61" s="5">
        <v>3244.07</v>
      </c>
      <c r="H61" s="27">
        <f t="shared" si="4"/>
        <v>16168.88</v>
      </c>
      <c r="I61" s="4">
        <f t="shared" si="0"/>
        <v>25</v>
      </c>
      <c r="J61" s="19"/>
      <c r="K61" s="3" t="str">
        <f t="shared" si="1"/>
        <v>0,66%</v>
      </c>
      <c r="L61" s="5">
        <f t="shared" si="2"/>
        <v>3485.7</v>
      </c>
      <c r="M61" s="19"/>
      <c r="N61" s="28">
        <f t="shared" si="3"/>
        <v>2023</v>
      </c>
      <c r="O61" s="31" t="s">
        <v>66</v>
      </c>
    </row>
    <row r="62" spans="1:15" x14ac:dyDescent="0.2">
      <c r="A62" s="20" t="s">
        <v>11</v>
      </c>
      <c r="B62" s="5">
        <v>1453.07</v>
      </c>
      <c r="C62" s="5">
        <v>1390.39</v>
      </c>
      <c r="D62" s="5">
        <v>1820.9</v>
      </c>
      <c r="E62" s="5">
        <v>1815.6</v>
      </c>
      <c r="F62" s="5">
        <v>1103.6600000000001</v>
      </c>
      <c r="H62" s="27">
        <f t="shared" si="4"/>
        <v>7583.6200000000008</v>
      </c>
      <c r="I62" s="4">
        <f t="shared" si="0"/>
        <v>30</v>
      </c>
      <c r="J62" s="19"/>
      <c r="K62" s="3" t="str">
        <f t="shared" si="1"/>
        <v>0,31%</v>
      </c>
      <c r="L62" s="5">
        <f t="shared" si="2"/>
        <v>1820.9</v>
      </c>
      <c r="M62" s="19"/>
      <c r="N62" s="28">
        <f t="shared" si="3"/>
        <v>2023</v>
      </c>
      <c r="O62" s="31" t="s">
        <v>66</v>
      </c>
    </row>
    <row r="63" spans="1:15" x14ac:dyDescent="0.2">
      <c r="A63" s="20" t="s">
        <v>12</v>
      </c>
      <c r="B63" s="5">
        <v>16381.81</v>
      </c>
      <c r="C63" s="5">
        <v>17617.61</v>
      </c>
      <c r="D63" s="5">
        <v>17664.8</v>
      </c>
      <c r="E63" s="5">
        <v>11409.78</v>
      </c>
      <c r="F63" s="5">
        <v>16360.02</v>
      </c>
      <c r="H63" s="27">
        <f t="shared" si="4"/>
        <v>79434.02</v>
      </c>
      <c r="I63" s="4">
        <f t="shared" si="0"/>
        <v>8</v>
      </c>
      <c r="J63" s="19"/>
      <c r="K63" s="3" t="str">
        <f t="shared" si="1"/>
        <v>3,23%</v>
      </c>
      <c r="L63" s="5">
        <f t="shared" si="2"/>
        <v>17664.8</v>
      </c>
      <c r="M63" s="19"/>
      <c r="N63" s="28">
        <f t="shared" si="3"/>
        <v>2023</v>
      </c>
      <c r="O63" s="31" t="s">
        <v>67</v>
      </c>
    </row>
    <row r="64" spans="1:15" x14ac:dyDescent="0.2">
      <c r="A64" s="20" t="s">
        <v>13</v>
      </c>
      <c r="B64" s="5">
        <v>78134.539999999994</v>
      </c>
      <c r="C64" s="5">
        <v>84960.62</v>
      </c>
      <c r="D64" s="5">
        <v>76287.199999999997</v>
      </c>
      <c r="E64" s="5">
        <v>74762.09</v>
      </c>
      <c r="F64" s="5">
        <v>80333.7</v>
      </c>
      <c r="H64" s="27">
        <f t="shared" si="4"/>
        <v>394478.14999999997</v>
      </c>
      <c r="I64" s="4">
        <f t="shared" si="0"/>
        <v>2</v>
      </c>
      <c r="J64" s="19"/>
      <c r="K64" s="3" t="str">
        <f t="shared" si="1"/>
        <v>16,04%</v>
      </c>
      <c r="L64" s="5">
        <f t="shared" si="2"/>
        <v>84960.62</v>
      </c>
      <c r="M64" s="19"/>
      <c r="N64" s="28">
        <f t="shared" si="3"/>
        <v>2022</v>
      </c>
      <c r="O64" s="31" t="s">
        <v>67</v>
      </c>
    </row>
    <row r="65" spans="1:15" x14ac:dyDescent="0.2">
      <c r="A65" s="20" t="s">
        <v>14</v>
      </c>
      <c r="B65" s="5">
        <v>65150.77</v>
      </c>
      <c r="C65" s="5">
        <v>61393.95</v>
      </c>
      <c r="D65" s="5">
        <v>65995.399999999994</v>
      </c>
      <c r="E65" s="5">
        <v>82965.81</v>
      </c>
      <c r="F65" s="5">
        <v>80520.58</v>
      </c>
      <c r="H65" s="27">
        <f t="shared" si="4"/>
        <v>356026.51</v>
      </c>
      <c r="I65" s="4">
        <f t="shared" si="0"/>
        <v>3</v>
      </c>
      <c r="J65" s="19"/>
      <c r="K65" s="3" t="str">
        <f t="shared" si="1"/>
        <v>14,48%</v>
      </c>
      <c r="L65" s="5">
        <f t="shared" si="2"/>
        <v>82965.81</v>
      </c>
      <c r="M65" s="19"/>
      <c r="N65" s="28">
        <f t="shared" si="3"/>
        <v>2024</v>
      </c>
      <c r="O65" s="31" t="s">
        <v>67</v>
      </c>
    </row>
    <row r="66" spans="1:15" x14ac:dyDescent="0.2">
      <c r="A66" s="20" t="s">
        <v>15</v>
      </c>
      <c r="B66" s="5">
        <v>7830.73</v>
      </c>
      <c r="C66" s="5">
        <v>7899.9</v>
      </c>
      <c r="D66" s="5">
        <v>7998.2</v>
      </c>
      <c r="E66" s="5">
        <v>8195.58</v>
      </c>
      <c r="F66" s="5">
        <v>9619.66</v>
      </c>
      <c r="H66" s="27">
        <f t="shared" si="4"/>
        <v>41544.069999999992</v>
      </c>
      <c r="I66" s="4">
        <f t="shared" si="0"/>
        <v>14</v>
      </c>
      <c r="J66" s="19"/>
      <c r="K66" s="3" t="str">
        <f t="shared" si="1"/>
        <v>1,69%</v>
      </c>
      <c r="L66" s="5">
        <f t="shared" si="2"/>
        <v>9619.66</v>
      </c>
      <c r="M66" s="19"/>
      <c r="N66" s="28">
        <f t="shared" si="3"/>
        <v>2025</v>
      </c>
      <c r="O66" s="31" t="s">
        <v>67</v>
      </c>
    </row>
    <row r="67" spans="1:15" x14ac:dyDescent="0.2">
      <c r="A67" s="20" t="s">
        <v>16</v>
      </c>
      <c r="B67" s="5">
        <v>108284.07</v>
      </c>
      <c r="C67" s="5">
        <v>110991.18</v>
      </c>
      <c r="D67" s="5">
        <v>102711.7</v>
      </c>
      <c r="E67" s="5">
        <v>89882.91</v>
      </c>
      <c r="F67" s="5">
        <v>100852.7</v>
      </c>
      <c r="H67" s="27">
        <f t="shared" si="4"/>
        <v>512722.56</v>
      </c>
      <c r="I67" s="4">
        <f t="shared" si="0"/>
        <v>1</v>
      </c>
      <c r="J67" s="19"/>
      <c r="K67" s="3" t="str">
        <f>(ROUNDUP(H67/(SUM($H$53:$H$90)),4))*100 &amp; "%"</f>
        <v>20,85%</v>
      </c>
      <c r="L67" s="5">
        <f t="shared" si="2"/>
        <v>110991.18</v>
      </c>
      <c r="M67" s="19"/>
      <c r="N67" s="28">
        <f t="shared" si="3"/>
        <v>2022</v>
      </c>
      <c r="O67" s="31" t="s">
        <v>67</v>
      </c>
    </row>
    <row r="68" spans="1:15" x14ac:dyDescent="0.2">
      <c r="A68" s="20" t="s">
        <v>17</v>
      </c>
      <c r="B68" s="5">
        <v>17933.48</v>
      </c>
      <c r="C68" s="5">
        <v>17242.689999999999</v>
      </c>
      <c r="D68" s="5">
        <v>20754.599999999999</v>
      </c>
      <c r="E68" s="5">
        <v>21883.7</v>
      </c>
      <c r="F68" s="5">
        <v>14351.82</v>
      </c>
      <c r="H68" s="27">
        <f t="shared" si="4"/>
        <v>92166.290000000008</v>
      </c>
      <c r="I68" s="4">
        <f t="shared" si="0"/>
        <v>6</v>
      </c>
      <c r="J68" s="19"/>
      <c r="K68" s="3" t="str">
        <f t="shared" si="1"/>
        <v>3,75%</v>
      </c>
      <c r="L68" s="5">
        <f t="shared" si="2"/>
        <v>21883.7</v>
      </c>
      <c r="M68" s="19"/>
      <c r="N68" s="28">
        <f t="shared" si="3"/>
        <v>2024</v>
      </c>
      <c r="O68" s="31" t="s">
        <v>67</v>
      </c>
    </row>
    <row r="69" spans="1:15" x14ac:dyDescent="0.2">
      <c r="A69" s="20" t="s">
        <v>18</v>
      </c>
      <c r="B69" s="5">
        <v>4650.67</v>
      </c>
      <c r="C69" s="5">
        <v>4694.03</v>
      </c>
      <c r="D69" s="5">
        <v>4076</v>
      </c>
      <c r="E69" s="5">
        <v>4184.7299999999996</v>
      </c>
      <c r="F69" s="5">
        <v>7951.53</v>
      </c>
      <c r="H69" s="27">
        <f t="shared" si="4"/>
        <v>25556.959999999999</v>
      </c>
      <c r="I69" s="4">
        <f t="shared" si="0"/>
        <v>20</v>
      </c>
      <c r="J69" s="19"/>
      <c r="K69" s="3" t="str">
        <f t="shared" si="1"/>
        <v>1,04%</v>
      </c>
      <c r="L69" s="5">
        <f t="shared" si="2"/>
        <v>7951.53</v>
      </c>
      <c r="M69" s="19"/>
      <c r="N69" s="28">
        <f t="shared" si="3"/>
        <v>2025</v>
      </c>
      <c r="O69" s="31" t="s">
        <v>68</v>
      </c>
    </row>
    <row r="70" spans="1:15" x14ac:dyDescent="0.2">
      <c r="A70" s="20" t="s">
        <v>19</v>
      </c>
      <c r="B70" s="5">
        <v>11014.08</v>
      </c>
      <c r="C70" s="5">
        <v>11159.01</v>
      </c>
      <c r="D70" s="5">
        <v>10083.200000000001</v>
      </c>
      <c r="E70" s="5">
        <v>10917.03</v>
      </c>
      <c r="F70" s="5">
        <v>11271.46</v>
      </c>
      <c r="H70" s="27">
        <f t="shared" si="4"/>
        <v>54444.78</v>
      </c>
      <c r="I70" s="4">
        <f t="shared" si="0"/>
        <v>12</v>
      </c>
      <c r="J70" s="19"/>
      <c r="K70" s="3" t="str">
        <f t="shared" si="1"/>
        <v>2,22%</v>
      </c>
      <c r="L70" s="5">
        <f t="shared" si="2"/>
        <v>11271.46</v>
      </c>
      <c r="M70" s="19"/>
      <c r="N70" s="28">
        <f t="shared" si="3"/>
        <v>2025</v>
      </c>
      <c r="O70" s="31" t="s">
        <v>68</v>
      </c>
    </row>
    <row r="71" spans="1:15" x14ac:dyDescent="0.2">
      <c r="A71" s="20" t="s">
        <v>20</v>
      </c>
      <c r="B71" s="5">
        <v>8176.8</v>
      </c>
      <c r="C71" s="5">
        <v>8680.44</v>
      </c>
      <c r="D71" s="5">
        <v>9395.6</v>
      </c>
      <c r="E71" s="5">
        <v>5936.82</v>
      </c>
      <c r="F71" s="5">
        <v>5941.85</v>
      </c>
      <c r="H71" s="27">
        <f t="shared" si="4"/>
        <v>38131.51</v>
      </c>
      <c r="I71" s="4">
        <f t="shared" si="0"/>
        <v>15</v>
      </c>
      <c r="J71" s="19"/>
      <c r="K71" s="3" t="str">
        <f t="shared" si="1"/>
        <v>1,56%</v>
      </c>
      <c r="L71" s="5">
        <f t="shared" si="2"/>
        <v>9395.6</v>
      </c>
      <c r="M71" s="19"/>
      <c r="N71" s="28">
        <f t="shared" si="3"/>
        <v>2023</v>
      </c>
      <c r="O71" s="31" t="s">
        <v>68</v>
      </c>
    </row>
    <row r="72" spans="1:15" x14ac:dyDescent="0.2">
      <c r="A72" s="20" t="s">
        <v>21</v>
      </c>
      <c r="B72" s="5">
        <v>5119.5200000000004</v>
      </c>
      <c r="C72" s="5">
        <v>5095.8900000000003</v>
      </c>
      <c r="D72" s="5">
        <v>4726.1000000000004</v>
      </c>
      <c r="E72" s="5">
        <v>3325.74</v>
      </c>
      <c r="F72" s="5">
        <v>3419.94</v>
      </c>
      <c r="H72" s="27">
        <f t="shared" si="4"/>
        <v>21687.19</v>
      </c>
      <c r="I72" s="4">
        <f t="shared" si="0"/>
        <v>22</v>
      </c>
      <c r="J72" s="19"/>
      <c r="K72" s="3" t="str">
        <f t="shared" si="1"/>
        <v>0,89%</v>
      </c>
      <c r="L72" s="5">
        <f t="shared" si="2"/>
        <v>5119.5200000000004</v>
      </c>
      <c r="M72" s="19"/>
      <c r="N72" s="28">
        <f t="shared" si="3"/>
        <v>2021</v>
      </c>
      <c r="O72" s="31" t="s">
        <v>69</v>
      </c>
    </row>
    <row r="73" spans="1:15" x14ac:dyDescent="0.2">
      <c r="A73" s="20" t="s">
        <v>22</v>
      </c>
      <c r="B73" s="5">
        <v>3965.53</v>
      </c>
      <c r="C73" s="5">
        <v>4113.87</v>
      </c>
      <c r="D73" s="5">
        <v>4026.7</v>
      </c>
      <c r="E73" s="5">
        <v>2763.99</v>
      </c>
      <c r="F73" s="5">
        <v>2343.29</v>
      </c>
      <c r="H73" s="27">
        <f t="shared" si="4"/>
        <v>17213.379999999997</v>
      </c>
      <c r="I73" s="4">
        <f t="shared" si="0"/>
        <v>23</v>
      </c>
      <c r="J73" s="19"/>
      <c r="K73" s="3" t="str">
        <f t="shared" si="1"/>
        <v>0,7%</v>
      </c>
      <c r="L73" s="5">
        <f t="shared" si="2"/>
        <v>4113.87</v>
      </c>
      <c r="M73" s="19"/>
      <c r="N73" s="28">
        <f t="shared" si="3"/>
        <v>2022</v>
      </c>
      <c r="O73" s="31" t="s">
        <v>69</v>
      </c>
    </row>
    <row r="74" spans="1:15" x14ac:dyDescent="0.2">
      <c r="A74" s="20" t="s">
        <v>23</v>
      </c>
      <c r="B74" s="5">
        <v>7328.53</v>
      </c>
      <c r="C74" s="5">
        <v>7351.35</v>
      </c>
      <c r="D74" s="5">
        <v>7892.4</v>
      </c>
      <c r="E74" s="5">
        <v>5253.64</v>
      </c>
      <c r="F74" s="5">
        <v>6749.88</v>
      </c>
      <c r="H74" s="27">
        <f t="shared" si="4"/>
        <v>34575.799999999996</v>
      </c>
      <c r="I74" s="4">
        <f t="shared" si="0"/>
        <v>17</v>
      </c>
      <c r="J74" s="19"/>
      <c r="K74" s="3" t="str">
        <f t="shared" si="1"/>
        <v>1,41%</v>
      </c>
      <c r="L74" s="5">
        <f t="shared" si="2"/>
        <v>7892.4</v>
      </c>
      <c r="M74" s="19"/>
      <c r="N74" s="28">
        <f>INDEX($B$52:$F$52, MATCH($L74,$B74:$F74,0))</f>
        <v>2023</v>
      </c>
      <c r="O74" s="31" t="s">
        <v>69</v>
      </c>
    </row>
    <row r="75" spans="1:15" x14ac:dyDescent="0.2">
      <c r="A75" s="20" t="s">
        <v>24</v>
      </c>
      <c r="B75" s="5">
        <v>7319.28</v>
      </c>
      <c r="C75" s="5">
        <v>7465.56</v>
      </c>
      <c r="D75" s="5">
        <v>7875.6</v>
      </c>
      <c r="E75" s="5">
        <v>6185.1</v>
      </c>
      <c r="F75" s="5">
        <v>6443.24</v>
      </c>
      <c r="H75" s="27">
        <f t="shared" si="4"/>
        <v>35288.78</v>
      </c>
      <c r="I75" s="4">
        <f t="shared" si="0"/>
        <v>16</v>
      </c>
      <c r="J75" s="19"/>
      <c r="K75" s="3" t="str">
        <f t="shared" si="1"/>
        <v>1,44%</v>
      </c>
      <c r="L75" s="5">
        <f t="shared" si="2"/>
        <v>7875.6</v>
      </c>
      <c r="M75" s="19"/>
      <c r="N75" s="28">
        <f t="shared" si="3"/>
        <v>2023</v>
      </c>
      <c r="O75" s="31" t="s">
        <v>69</v>
      </c>
    </row>
    <row r="76" spans="1:15" x14ac:dyDescent="0.2">
      <c r="A76" s="20" t="s">
        <v>25</v>
      </c>
      <c r="B76" s="5">
        <v>808.02</v>
      </c>
      <c r="C76" s="5">
        <v>895.57</v>
      </c>
      <c r="D76" s="5">
        <v>891.6</v>
      </c>
      <c r="E76" s="5">
        <v>602.28</v>
      </c>
      <c r="F76" s="5">
        <v>576.01</v>
      </c>
      <c r="H76" s="27">
        <f t="shared" si="4"/>
        <v>3773.4800000000005</v>
      </c>
      <c r="I76" s="4">
        <f t="shared" si="0"/>
        <v>34</v>
      </c>
      <c r="J76" s="19"/>
      <c r="K76" s="3" t="str">
        <f t="shared" si="1"/>
        <v>0,16%</v>
      </c>
      <c r="L76" s="5">
        <f t="shared" si="2"/>
        <v>895.57</v>
      </c>
      <c r="M76" s="19"/>
      <c r="N76" s="28">
        <f t="shared" si="3"/>
        <v>2022</v>
      </c>
      <c r="O76" s="31" t="s">
        <v>69</v>
      </c>
    </row>
    <row r="77" spans="1:15" x14ac:dyDescent="0.2">
      <c r="A77" s="20" t="s">
        <v>26</v>
      </c>
      <c r="B77" s="5">
        <v>3103.44</v>
      </c>
      <c r="C77" s="5">
        <v>3169.39</v>
      </c>
      <c r="D77" s="5">
        <v>2032.2</v>
      </c>
      <c r="E77" s="5">
        <v>3390.26</v>
      </c>
      <c r="F77" s="5">
        <v>3706.5</v>
      </c>
      <c r="H77" s="27">
        <f t="shared" si="4"/>
        <v>15401.79</v>
      </c>
      <c r="I77" s="4">
        <f t="shared" si="0"/>
        <v>26</v>
      </c>
      <c r="J77" s="19"/>
      <c r="K77" s="3" t="str">
        <f t="shared" si="1"/>
        <v>0,63%</v>
      </c>
      <c r="L77" s="5">
        <f t="shared" si="2"/>
        <v>3706.5</v>
      </c>
      <c r="M77" s="19"/>
      <c r="N77" s="28">
        <f t="shared" si="3"/>
        <v>2025</v>
      </c>
      <c r="O77" s="31" t="s">
        <v>70</v>
      </c>
    </row>
    <row r="78" spans="1:15" x14ac:dyDescent="0.2">
      <c r="A78" s="20" t="s">
        <v>27</v>
      </c>
      <c r="B78" s="5">
        <v>5926.7</v>
      </c>
      <c r="C78" s="5">
        <v>5967.2</v>
      </c>
      <c r="D78" s="5">
        <v>5472.3</v>
      </c>
      <c r="E78" s="5">
        <v>4374.45</v>
      </c>
      <c r="F78" s="5">
        <v>4206.6000000000004</v>
      </c>
      <c r="H78" s="27">
        <f t="shared" si="4"/>
        <v>25947.25</v>
      </c>
      <c r="I78" s="4">
        <f t="shared" si="0"/>
        <v>19</v>
      </c>
      <c r="J78" s="19"/>
      <c r="K78" s="3" t="str">
        <f t="shared" si="1"/>
        <v>1,06%</v>
      </c>
      <c r="L78" s="5">
        <f t="shared" si="2"/>
        <v>5967.2</v>
      </c>
      <c r="M78" s="19"/>
      <c r="N78" s="28">
        <f t="shared" si="3"/>
        <v>2022</v>
      </c>
      <c r="O78" s="31" t="s">
        <v>70</v>
      </c>
    </row>
    <row r="79" spans="1:15" x14ac:dyDescent="0.2">
      <c r="A79" s="20" t="s">
        <v>28</v>
      </c>
      <c r="B79" s="5">
        <v>15366.14</v>
      </c>
      <c r="C79" s="5">
        <v>16277.51</v>
      </c>
      <c r="D79" s="5">
        <v>16181.3</v>
      </c>
      <c r="E79" s="5">
        <v>13394.17</v>
      </c>
      <c r="F79" s="5">
        <v>13962.5</v>
      </c>
      <c r="H79" s="27">
        <f t="shared" si="4"/>
        <v>75181.62</v>
      </c>
      <c r="I79" s="4">
        <f t="shared" si="0"/>
        <v>9</v>
      </c>
      <c r="J79" s="19"/>
      <c r="K79" s="3" t="str">
        <f t="shared" si="1"/>
        <v>3,06%</v>
      </c>
      <c r="L79" s="5">
        <f t="shared" si="2"/>
        <v>16277.51</v>
      </c>
      <c r="M79" s="19"/>
      <c r="N79" s="28">
        <f t="shared" si="3"/>
        <v>2022</v>
      </c>
      <c r="O79" s="31" t="s">
        <v>70</v>
      </c>
    </row>
    <row r="80" spans="1:15" x14ac:dyDescent="0.2">
      <c r="A80" s="20" t="s">
        <v>29</v>
      </c>
      <c r="B80" s="5">
        <v>4522.93</v>
      </c>
      <c r="C80" s="5">
        <v>4525.62</v>
      </c>
      <c r="D80" s="5">
        <v>5213.8</v>
      </c>
      <c r="E80" s="5">
        <v>6334.35</v>
      </c>
      <c r="F80" s="5">
        <v>6782.93</v>
      </c>
      <c r="H80" s="27">
        <f>SUM($B80:$F80)</f>
        <v>27379.629999999997</v>
      </c>
      <c r="I80" s="4">
        <f t="shared" si="0"/>
        <v>18</v>
      </c>
      <c r="J80" s="19"/>
      <c r="K80" s="3" t="str">
        <f t="shared" si="1"/>
        <v>1,12%</v>
      </c>
      <c r="L80" s="5">
        <f t="shared" si="2"/>
        <v>6782.93</v>
      </c>
      <c r="M80" s="19"/>
      <c r="N80" s="28">
        <f t="shared" si="3"/>
        <v>2025</v>
      </c>
      <c r="O80" s="31" t="s">
        <v>70</v>
      </c>
    </row>
    <row r="81" spans="1:15" x14ac:dyDescent="0.2">
      <c r="A81" s="20" t="s">
        <v>30</v>
      </c>
      <c r="B81" s="5">
        <v>2899.38</v>
      </c>
      <c r="C81" s="5">
        <v>2918.75</v>
      </c>
      <c r="D81" s="5">
        <v>3137.5</v>
      </c>
      <c r="E81" s="5">
        <v>1663.45</v>
      </c>
      <c r="F81" s="5">
        <v>1881.41</v>
      </c>
      <c r="H81" s="27">
        <f t="shared" si="4"/>
        <v>12500.490000000002</v>
      </c>
      <c r="I81" s="4">
        <f t="shared" si="0"/>
        <v>27</v>
      </c>
      <c r="K81" s="3" t="str">
        <f t="shared" si="1"/>
        <v>0,51%</v>
      </c>
      <c r="L81" s="5">
        <f t="shared" si="2"/>
        <v>3137.5</v>
      </c>
      <c r="N81" s="28">
        <f t="shared" si="3"/>
        <v>2023</v>
      </c>
      <c r="O81" s="31" t="s">
        <v>70</v>
      </c>
    </row>
    <row r="82" spans="1:15" x14ac:dyDescent="0.2">
      <c r="A82" s="20" t="s">
        <v>31</v>
      </c>
      <c r="B82" s="5">
        <v>1636.87</v>
      </c>
      <c r="C82" s="5">
        <v>1725.34</v>
      </c>
      <c r="D82" s="5">
        <v>1358.5</v>
      </c>
      <c r="E82" s="5">
        <v>986.01</v>
      </c>
      <c r="F82" s="5">
        <v>823.29</v>
      </c>
      <c r="H82" s="27">
        <f t="shared" si="4"/>
        <v>6530.01</v>
      </c>
      <c r="I82" s="4">
        <f t="shared" si="0"/>
        <v>31</v>
      </c>
      <c r="K82" s="3" t="str">
        <f t="shared" si="1"/>
        <v>0,27%</v>
      </c>
      <c r="L82" s="5">
        <f t="shared" si="2"/>
        <v>1725.34</v>
      </c>
      <c r="N82" s="28">
        <f t="shared" si="3"/>
        <v>2022</v>
      </c>
      <c r="O82" s="31" t="s">
        <v>70</v>
      </c>
    </row>
    <row r="83" spans="1:15" x14ac:dyDescent="0.2">
      <c r="A83" s="20" t="s">
        <v>32</v>
      </c>
      <c r="B83" s="5">
        <v>2306.54</v>
      </c>
      <c r="C83" s="5">
        <v>2308.12</v>
      </c>
      <c r="D83" s="5">
        <v>2555.6999999999998</v>
      </c>
      <c r="E83" s="5">
        <v>1042.5</v>
      </c>
      <c r="F83" s="5">
        <v>1005.62</v>
      </c>
      <c r="H83" s="27">
        <f t="shared" si="4"/>
        <v>9218.4800000000014</v>
      </c>
      <c r="I83" s="4">
        <f t="shared" si="0"/>
        <v>28</v>
      </c>
      <c r="K83" s="3" t="str">
        <f t="shared" si="1"/>
        <v>0,38%</v>
      </c>
      <c r="L83" s="5">
        <f t="shared" si="2"/>
        <v>2555.6999999999998</v>
      </c>
      <c r="N83" s="28">
        <f t="shared" si="3"/>
        <v>2023</v>
      </c>
      <c r="O83" s="31" t="s">
        <v>71</v>
      </c>
    </row>
    <row r="84" spans="1:15" x14ac:dyDescent="0.2">
      <c r="A84" s="20" t="s">
        <v>33</v>
      </c>
      <c r="B84" s="5">
        <v>1300.92</v>
      </c>
      <c r="C84" s="5">
        <v>1320.51</v>
      </c>
      <c r="D84" s="5">
        <v>950.1</v>
      </c>
      <c r="E84" s="5">
        <v>919.64</v>
      </c>
      <c r="F84" s="5">
        <v>1053.52</v>
      </c>
      <c r="H84" s="27">
        <f t="shared" si="4"/>
        <v>5544.6900000000005</v>
      </c>
      <c r="I84" s="4">
        <f t="shared" si="0"/>
        <v>32</v>
      </c>
      <c r="K84" s="3" t="str">
        <f t="shared" si="1"/>
        <v>0,23%</v>
      </c>
      <c r="L84" s="5">
        <f t="shared" si="2"/>
        <v>1320.51</v>
      </c>
      <c r="N84" s="28">
        <f t="shared" si="3"/>
        <v>2022</v>
      </c>
      <c r="O84" s="31" t="s">
        <v>71</v>
      </c>
    </row>
    <row r="85" spans="1:15" x14ac:dyDescent="0.2">
      <c r="A85" s="20" t="s">
        <v>34</v>
      </c>
      <c r="B85" s="5">
        <v>1832.35</v>
      </c>
      <c r="C85" s="5">
        <v>1506.02</v>
      </c>
      <c r="D85" s="5">
        <v>379.6</v>
      </c>
      <c r="E85" s="5">
        <v>363.95</v>
      </c>
      <c r="F85" s="5">
        <v>304.47000000000003</v>
      </c>
      <c r="H85" s="27">
        <f t="shared" si="4"/>
        <v>4386.3899999999994</v>
      </c>
      <c r="I85" s="4">
        <f t="shared" si="0"/>
        <v>33</v>
      </c>
      <c r="K85" s="3" t="str">
        <f t="shared" si="1"/>
        <v>0,18%</v>
      </c>
      <c r="L85" s="5">
        <f t="shared" si="2"/>
        <v>1832.35</v>
      </c>
      <c r="N85" s="28">
        <f t="shared" si="3"/>
        <v>2021</v>
      </c>
      <c r="O85" s="31" t="s">
        <v>71</v>
      </c>
    </row>
    <row r="86" spans="1:15" x14ac:dyDescent="0.2">
      <c r="A86" s="20" t="s">
        <v>35</v>
      </c>
      <c r="B86" s="5" t="s">
        <v>36</v>
      </c>
      <c r="C86" s="5" t="s">
        <v>36</v>
      </c>
      <c r="D86" s="5">
        <v>682.6</v>
      </c>
      <c r="E86" s="5">
        <v>444.82</v>
      </c>
      <c r="F86" s="5">
        <v>463.87</v>
      </c>
      <c r="H86" s="27">
        <f t="shared" si="4"/>
        <v>1591.29</v>
      </c>
      <c r="I86" s="4">
        <f t="shared" si="0"/>
        <v>37</v>
      </c>
      <c r="K86" s="3" t="str">
        <f t="shared" si="1"/>
        <v>0,07%</v>
      </c>
      <c r="L86" s="5">
        <f t="shared" si="2"/>
        <v>682.6</v>
      </c>
      <c r="N86" s="28">
        <f t="shared" si="3"/>
        <v>2023</v>
      </c>
      <c r="O86" s="31" t="s">
        <v>71</v>
      </c>
    </row>
    <row r="87" spans="1:15" x14ac:dyDescent="0.2">
      <c r="A87" s="20" t="s">
        <v>37</v>
      </c>
      <c r="B87" s="5">
        <v>2430.88</v>
      </c>
      <c r="C87" s="5">
        <v>2616.77</v>
      </c>
      <c r="D87" s="5">
        <v>1150.9000000000001</v>
      </c>
      <c r="E87" s="5">
        <v>790.17</v>
      </c>
      <c r="F87" s="5">
        <v>696.72</v>
      </c>
      <c r="H87" s="27">
        <f t="shared" si="4"/>
        <v>7685.44</v>
      </c>
      <c r="I87" s="4">
        <f t="shared" si="0"/>
        <v>29</v>
      </c>
      <c r="K87" s="3" t="str">
        <f t="shared" si="1"/>
        <v>0,32%</v>
      </c>
      <c r="L87" s="5">
        <f t="shared" si="2"/>
        <v>2616.77</v>
      </c>
      <c r="N87" s="28">
        <f t="shared" si="3"/>
        <v>2022</v>
      </c>
      <c r="O87" s="31" t="s">
        <v>71</v>
      </c>
    </row>
    <row r="88" spans="1:15" x14ac:dyDescent="0.2">
      <c r="A88" s="20" t="s">
        <v>38</v>
      </c>
      <c r="B88" s="5" t="s">
        <v>36</v>
      </c>
      <c r="C88" s="5" t="s">
        <v>36</v>
      </c>
      <c r="D88" s="5">
        <v>721.6</v>
      </c>
      <c r="E88" s="5">
        <v>473.16</v>
      </c>
      <c r="F88" s="5">
        <v>634.98</v>
      </c>
      <c r="H88" s="27">
        <f t="shared" si="4"/>
        <v>1829.74</v>
      </c>
      <c r="I88" s="4">
        <f t="shared" si="0"/>
        <v>36</v>
      </c>
      <c r="K88" s="3" t="str">
        <f t="shared" si="1"/>
        <v>0,08%</v>
      </c>
      <c r="L88" s="5">
        <f t="shared" si="2"/>
        <v>721.6</v>
      </c>
      <c r="N88" s="28">
        <f t="shared" si="3"/>
        <v>2023</v>
      </c>
      <c r="O88" s="31" t="s">
        <v>71</v>
      </c>
    </row>
    <row r="89" spans="1:15" x14ac:dyDescent="0.2">
      <c r="A89" s="20" t="s">
        <v>39</v>
      </c>
      <c r="B89" s="5" t="s">
        <v>36</v>
      </c>
      <c r="C89" s="5" t="s">
        <v>36</v>
      </c>
      <c r="D89" s="5">
        <v>710.8</v>
      </c>
      <c r="E89" s="5">
        <v>855.41</v>
      </c>
      <c r="F89" s="5">
        <v>848.42</v>
      </c>
      <c r="H89" s="27">
        <f t="shared" si="4"/>
        <v>2414.63</v>
      </c>
      <c r="I89" s="4">
        <f t="shared" si="0"/>
        <v>35</v>
      </c>
      <c r="K89" s="3" t="str">
        <f t="shared" si="1"/>
        <v>0,1%</v>
      </c>
      <c r="L89" s="5">
        <f t="shared" si="2"/>
        <v>855.41</v>
      </c>
      <c r="N89" s="28">
        <f t="shared" si="3"/>
        <v>2024</v>
      </c>
      <c r="O89" s="31" t="s">
        <v>71</v>
      </c>
    </row>
    <row r="90" spans="1:15" x14ac:dyDescent="0.2">
      <c r="A90" s="20" t="s">
        <v>40</v>
      </c>
      <c r="B90" s="5" t="s">
        <v>36</v>
      </c>
      <c r="C90" s="5" t="s">
        <v>36</v>
      </c>
      <c r="D90" s="5">
        <v>214.4</v>
      </c>
      <c r="E90" s="5">
        <v>492.05</v>
      </c>
      <c r="F90" s="5">
        <v>798.23</v>
      </c>
      <c r="H90" s="27">
        <f t="shared" si="4"/>
        <v>1504.68</v>
      </c>
      <c r="I90" s="4">
        <f t="shared" si="0"/>
        <v>38</v>
      </c>
      <c r="K90" s="3" t="str">
        <f t="shared" si="1"/>
        <v>0,07%</v>
      </c>
      <c r="L90" s="5">
        <f t="shared" si="2"/>
        <v>798.23</v>
      </c>
      <c r="N90" s="28">
        <f>INDEX($B$52:$F$52, MATCH($L90,$B90:$F90,0))</f>
        <v>2025</v>
      </c>
      <c r="O90" s="31" t="s">
        <v>71</v>
      </c>
    </row>
    <row r="92" spans="1:15" x14ac:dyDescent="0.2">
      <c r="A92" s="49" t="s">
        <v>72</v>
      </c>
      <c r="B92" s="49"/>
      <c r="H92" s="33"/>
    </row>
    <row r="93" spans="1:15" x14ac:dyDescent="0.2">
      <c r="A93" t="s">
        <v>66</v>
      </c>
      <c r="B93" s="25">
        <f>SUM(B53:F60)</f>
        <v>531679.56000000006</v>
      </c>
    </row>
    <row r="94" spans="1:15" x14ac:dyDescent="0.2">
      <c r="A94" t="s">
        <v>67</v>
      </c>
      <c r="B94" s="25">
        <f>SUM(B63:F68)</f>
        <v>1476371.5999999996</v>
      </c>
    </row>
    <row r="95" spans="1:15" x14ac:dyDescent="0.2">
      <c r="A95" t="s">
        <v>68</v>
      </c>
      <c r="B95" s="25">
        <f>SUM(B69:F72)</f>
        <v>139820.44</v>
      </c>
    </row>
    <row r="96" spans="1:15" x14ac:dyDescent="0.2">
      <c r="A96" t="s">
        <v>69</v>
      </c>
      <c r="B96" s="25">
        <f>SUM(B72:F76)</f>
        <v>112538.63000000002</v>
      </c>
    </row>
    <row r="97" spans="1:2" x14ac:dyDescent="0.2">
      <c r="A97" t="s">
        <v>70</v>
      </c>
      <c r="B97" s="25">
        <f>SUM(B77:F82)</f>
        <v>162940.79</v>
      </c>
    </row>
    <row r="98" spans="1:2" x14ac:dyDescent="0.2">
      <c r="A98" t="s">
        <v>71</v>
      </c>
      <c r="B98" s="25">
        <f>SUM(B83:F90)</f>
        <v>34175.340000000004</v>
      </c>
    </row>
    <row r="113" spans="1:8" x14ac:dyDescent="0.2">
      <c r="A113" s="49" t="s">
        <v>75</v>
      </c>
      <c r="B113" s="49"/>
    </row>
    <row r="114" spans="1:8" x14ac:dyDescent="0.2">
      <c r="A114" t="str" cm="1">
        <f t="array" ref="A114:H123">_xlfn.TAKE(_xlfn._xlws.SORT(A53:H90,8,-1),10)</f>
        <v>JAWA TIMUR</v>
      </c>
      <c r="B114">
        <v>108284.07</v>
      </c>
      <c r="C114">
        <v>110991.18</v>
      </c>
      <c r="D114">
        <v>102711.7</v>
      </c>
      <c r="E114">
        <v>89882.91</v>
      </c>
      <c r="F114">
        <v>100852.7</v>
      </c>
      <c r="G114">
        <v>0</v>
      </c>
      <c r="H114">
        <v>512722.56</v>
      </c>
    </row>
    <row r="115" spans="1:8" x14ac:dyDescent="0.2">
      <c r="A115" t="str">
        <v>JAWA BARAT</v>
      </c>
      <c r="B115">
        <v>78134.539999999994</v>
      </c>
      <c r="C115">
        <v>84960.62</v>
      </c>
      <c r="D115">
        <v>76287.199999999997</v>
      </c>
      <c r="E115">
        <v>74762.09</v>
      </c>
      <c r="F115">
        <v>80333.7</v>
      </c>
      <c r="G115">
        <v>0</v>
      </c>
      <c r="H115">
        <v>394478.14999999997</v>
      </c>
    </row>
    <row r="116" spans="1:8" x14ac:dyDescent="0.2">
      <c r="A116" t="str">
        <v>JAWA TENGAH</v>
      </c>
      <c r="B116">
        <v>65150.77</v>
      </c>
      <c r="C116">
        <v>61393.95</v>
      </c>
      <c r="D116">
        <v>65995.399999999994</v>
      </c>
      <c r="E116">
        <v>82965.81</v>
      </c>
      <c r="F116">
        <v>80520.58</v>
      </c>
      <c r="G116">
        <v>0</v>
      </c>
      <c r="H116">
        <v>356026.51</v>
      </c>
    </row>
    <row r="117" spans="1:8" x14ac:dyDescent="0.2">
      <c r="A117" t="str">
        <v>SUMATERA BARAT</v>
      </c>
      <c r="B117">
        <v>21375.13</v>
      </c>
      <c r="C117">
        <v>21514.66</v>
      </c>
      <c r="D117">
        <v>31194.400000000001</v>
      </c>
      <c r="E117">
        <v>19933.05</v>
      </c>
      <c r="F117">
        <v>20633.310000000001</v>
      </c>
      <c r="G117">
        <v>0</v>
      </c>
      <c r="H117">
        <v>114650.55</v>
      </c>
    </row>
    <row r="118" spans="1:8" x14ac:dyDescent="0.2">
      <c r="A118" t="str">
        <v>LAMPUNG</v>
      </c>
      <c r="B118">
        <v>21130.03</v>
      </c>
      <c r="C118">
        <v>21176.2</v>
      </c>
      <c r="D118">
        <v>22895.200000000001</v>
      </c>
      <c r="E118">
        <v>18595.189999999999</v>
      </c>
      <c r="F118">
        <v>18398.54</v>
      </c>
      <c r="G118">
        <v>0</v>
      </c>
      <c r="H118">
        <v>102195.16</v>
      </c>
    </row>
    <row r="119" spans="1:8" x14ac:dyDescent="0.2">
      <c r="A119" t="str">
        <v>BANTEN</v>
      </c>
      <c r="B119">
        <v>17933.48</v>
      </c>
      <c r="C119">
        <v>17242.689999999999</v>
      </c>
      <c r="D119">
        <v>20754.599999999999</v>
      </c>
      <c r="E119">
        <v>21883.7</v>
      </c>
      <c r="F119">
        <v>14351.82</v>
      </c>
      <c r="G119">
        <v>0</v>
      </c>
      <c r="H119">
        <v>92166.290000000008</v>
      </c>
    </row>
    <row r="120" spans="1:8" x14ac:dyDescent="0.2">
      <c r="A120" t="str">
        <v>SUMATERA UTARA</v>
      </c>
      <c r="B120">
        <v>13745.06</v>
      </c>
      <c r="C120">
        <v>13859.09</v>
      </c>
      <c r="D120">
        <v>15902.8</v>
      </c>
      <c r="E120">
        <v>16857.009999999998</v>
      </c>
      <c r="F120">
        <v>22385.29</v>
      </c>
      <c r="G120">
        <v>0</v>
      </c>
      <c r="H120">
        <v>82749.25</v>
      </c>
    </row>
    <row r="121" spans="1:8" x14ac:dyDescent="0.2">
      <c r="A121" t="str">
        <v>DKI JAKARTA</v>
      </c>
      <c r="B121">
        <v>16381.81</v>
      </c>
      <c r="C121">
        <v>17617.61</v>
      </c>
      <c r="D121">
        <v>17664.8</v>
      </c>
      <c r="E121">
        <v>11409.78</v>
      </c>
      <c r="F121">
        <v>16360.02</v>
      </c>
      <c r="G121">
        <v>0</v>
      </c>
      <c r="H121">
        <v>79434.02</v>
      </c>
    </row>
    <row r="122" spans="1:8" x14ac:dyDescent="0.2">
      <c r="A122" t="str">
        <v>SULAWESI SELATAN</v>
      </c>
      <c r="B122">
        <v>15366.14</v>
      </c>
      <c r="C122">
        <v>16277.51</v>
      </c>
      <c r="D122">
        <v>16181.3</v>
      </c>
      <c r="E122">
        <v>13394.17</v>
      </c>
      <c r="F122">
        <v>13962.5</v>
      </c>
      <c r="G122">
        <v>0</v>
      </c>
      <c r="H122">
        <v>75181.62</v>
      </c>
    </row>
    <row r="123" spans="1:8" x14ac:dyDescent="0.2">
      <c r="A123" t="str">
        <v>ACEH</v>
      </c>
      <c r="B123">
        <v>11674.1</v>
      </c>
      <c r="C123">
        <v>12014.96</v>
      </c>
      <c r="D123">
        <v>15644.5</v>
      </c>
      <c r="E123">
        <v>13798.92</v>
      </c>
      <c r="F123">
        <v>16681.09</v>
      </c>
      <c r="G123">
        <v>0</v>
      </c>
      <c r="H123">
        <v>69813.569999999992</v>
      </c>
    </row>
  </sheetData>
  <mergeCells count="7">
    <mergeCell ref="A113:B113"/>
    <mergeCell ref="I7:J7"/>
    <mergeCell ref="A30:B30"/>
    <mergeCell ref="A92:B92"/>
    <mergeCell ref="A1:E1"/>
    <mergeCell ref="A3:C3"/>
    <mergeCell ref="D3:E3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247E-3D71-1246-864D-1A5E12DC3D91}">
  <dimension ref="B2:T51"/>
  <sheetViews>
    <sheetView showGridLines="0" tabSelected="1" zoomScale="81" zoomScaleNormal="87" workbookViewId="0">
      <selection activeCell="T12" sqref="T12"/>
    </sheetView>
  </sheetViews>
  <sheetFormatPr baseColWidth="10" defaultRowHeight="16" x14ac:dyDescent="0.2"/>
  <cols>
    <col min="1" max="1" width="4.5" customWidth="1"/>
    <col min="2" max="2" width="17.83203125" customWidth="1"/>
    <col min="3" max="3" width="17.33203125" customWidth="1"/>
    <col min="4" max="4" width="4.83203125" customWidth="1"/>
    <col min="5" max="5" width="19.83203125" customWidth="1"/>
    <col min="6" max="6" width="19.33203125" customWidth="1"/>
    <col min="7" max="7" width="3.5" customWidth="1"/>
    <col min="11" max="11" width="3.33203125" customWidth="1"/>
    <col min="13" max="13" width="4.1640625" customWidth="1"/>
    <col min="14" max="14" width="14.1640625" customWidth="1"/>
    <col min="15" max="15" width="15.33203125" customWidth="1"/>
    <col min="16" max="16" width="13.6640625" customWidth="1"/>
    <col min="17" max="17" width="18.33203125" customWidth="1"/>
    <col min="18" max="18" width="6.33203125" customWidth="1"/>
  </cols>
  <sheetData>
    <row r="2" spans="2:20" ht="16" customHeight="1" x14ac:dyDescent="0.2">
      <c r="B2" s="35" t="s">
        <v>46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21"/>
    </row>
    <row r="3" spans="2:20" ht="16" customHeight="1" x14ac:dyDescent="0.2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21"/>
    </row>
    <row r="4" spans="2:20" ht="16" customHeight="1" x14ac:dyDescent="0.2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21"/>
    </row>
    <row r="6" spans="2:20" ht="24" customHeight="1" x14ac:dyDescent="0.2">
      <c r="B6" s="48" t="s">
        <v>88</v>
      </c>
      <c r="C6" s="48"/>
      <c r="D6" s="48"/>
      <c r="E6" s="48"/>
      <c r="F6" s="48"/>
      <c r="H6" s="45" t="s">
        <v>42</v>
      </c>
      <c r="I6" s="45"/>
      <c r="J6" s="45"/>
      <c r="L6" s="34" t="s">
        <v>87</v>
      </c>
      <c r="M6" s="34"/>
      <c r="N6" s="34"/>
      <c r="O6" s="34"/>
      <c r="P6" s="34"/>
      <c r="Q6" s="34"/>
      <c r="R6" s="23"/>
      <c r="S6" s="6"/>
      <c r="T6" s="6"/>
    </row>
    <row r="7" spans="2:20" ht="16" customHeight="1" x14ac:dyDescent="0.2">
      <c r="B7" s="48"/>
      <c r="C7" s="48"/>
      <c r="D7" s="48"/>
      <c r="E7" s="48"/>
      <c r="F7" s="48"/>
      <c r="H7" s="46">
        <f>COUNTA(Data!B4:B41)</f>
        <v>38</v>
      </c>
      <c r="I7" s="46"/>
      <c r="J7" s="46"/>
      <c r="L7" s="34"/>
      <c r="M7" s="34"/>
      <c r="N7" s="34"/>
      <c r="O7" s="34"/>
      <c r="P7" s="34"/>
      <c r="Q7" s="34"/>
      <c r="R7" s="23"/>
      <c r="S7" s="6"/>
      <c r="T7" s="6"/>
    </row>
    <row r="8" spans="2:20" ht="16" customHeight="1" x14ac:dyDescent="0.2">
      <c r="H8" s="46"/>
      <c r="I8" s="46"/>
      <c r="J8" s="46"/>
    </row>
    <row r="10" spans="2:20" ht="22" customHeight="1" x14ac:dyDescent="0.2">
      <c r="H10" s="45" t="s">
        <v>44</v>
      </c>
      <c r="I10" s="45"/>
      <c r="J10" s="45"/>
    </row>
    <row r="11" spans="2:20" x14ac:dyDescent="0.2">
      <c r="H11" s="46" t="str" cm="1">
        <f t="array" ref="H11">INDEX('Tabel-bantuan'!A5:E5,MATCH(MODE(MATCH('Tabel-bantuan'!A5:E5,'Tabel-bantuan'!A5:E5,0)),MATCH('Tabel-bantuan'!A5:E5,'Tabel-bantuan'!A5:E5,0),0))</f>
        <v>JAWA TIMUR</v>
      </c>
      <c r="I11" s="46"/>
      <c r="J11" s="46"/>
    </row>
    <row r="12" spans="2:20" x14ac:dyDescent="0.2">
      <c r="H12" s="46"/>
      <c r="I12" s="46"/>
      <c r="J12" s="46"/>
    </row>
    <row r="14" spans="2:20" ht="20" customHeight="1" x14ac:dyDescent="0.2">
      <c r="H14" s="45" t="s">
        <v>47</v>
      </c>
      <c r="I14" s="45"/>
      <c r="J14" s="45"/>
    </row>
    <row r="15" spans="2:20" x14ac:dyDescent="0.2">
      <c r="H15" s="47">
        <f>SUM(Data!C42:G42)</f>
        <v>2459591.8400000003</v>
      </c>
      <c r="I15" s="46"/>
      <c r="J15" s="46"/>
    </row>
    <row r="16" spans="2:20" x14ac:dyDescent="0.2">
      <c r="H16" s="46"/>
      <c r="I16" s="46"/>
      <c r="J16" s="46"/>
    </row>
    <row r="18" spans="2:18" x14ac:dyDescent="0.2">
      <c r="H18" s="44" t="s">
        <v>86</v>
      </c>
      <c r="I18" s="44"/>
      <c r="J18" s="44"/>
    </row>
    <row r="19" spans="2:18" ht="16" customHeight="1" x14ac:dyDescent="0.2">
      <c r="H19" s="40" t="s">
        <v>65</v>
      </c>
      <c r="I19" s="40"/>
      <c r="J19" s="40"/>
      <c r="K19" s="29"/>
    </row>
    <row r="20" spans="2:18" ht="16" customHeight="1" x14ac:dyDescent="0.2">
      <c r="H20" s="39">
        <f>MIN(Data!$C$4:$G$41)</f>
        <v>214.4</v>
      </c>
      <c r="I20" s="39"/>
      <c r="J20" s="39"/>
      <c r="K20" s="29"/>
    </row>
    <row r="21" spans="2:18" ht="16" customHeight="1" x14ac:dyDescent="0.2">
      <c r="H21" s="40" t="s">
        <v>64</v>
      </c>
      <c r="I21" s="40"/>
      <c r="J21" s="40"/>
      <c r="K21" s="29"/>
    </row>
    <row r="22" spans="2:18" ht="16" customHeight="1" x14ac:dyDescent="0.2">
      <c r="H22" s="39">
        <f>MAX(Data!$C$4:$G$41)</f>
        <v>110991.18</v>
      </c>
      <c r="I22" s="39"/>
      <c r="J22" s="39"/>
      <c r="K22" s="29"/>
    </row>
    <row r="24" spans="2:18" ht="16" customHeight="1" x14ac:dyDescent="0.2">
      <c r="B24" s="42" t="s">
        <v>56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22"/>
    </row>
    <row r="25" spans="2:18" ht="16" customHeight="1" x14ac:dyDescent="0.2"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22"/>
    </row>
    <row r="26" spans="2:18" ht="16" customHeight="1" x14ac:dyDescent="0.2">
      <c r="M26" s="36" t="s">
        <v>81</v>
      </c>
      <c r="N26" s="36"/>
      <c r="O26" s="36"/>
      <c r="P26" s="36"/>
      <c r="Q26" s="36"/>
    </row>
    <row r="27" spans="2:18" ht="16" customHeight="1" x14ac:dyDescent="0.2">
      <c r="M27" s="36"/>
      <c r="N27" s="36"/>
      <c r="O27" s="36"/>
      <c r="P27" s="36"/>
      <c r="Q27" s="36"/>
    </row>
    <row r="45" spans="5:17" ht="23" customHeight="1" x14ac:dyDescent="0.2">
      <c r="E45" s="37" t="s">
        <v>85</v>
      </c>
      <c r="F45" s="37"/>
      <c r="G45" s="24"/>
      <c r="H45" s="37" t="s">
        <v>83</v>
      </c>
      <c r="I45" s="37"/>
      <c r="J45" s="37"/>
      <c r="K45" s="37"/>
      <c r="L45" s="37"/>
      <c r="N45" s="37" t="s">
        <v>76</v>
      </c>
      <c r="O45" s="37"/>
      <c r="P45" s="37"/>
      <c r="Q45" s="37"/>
    </row>
    <row r="46" spans="5:17" ht="16" customHeight="1" x14ac:dyDescent="0.2">
      <c r="E46" s="43">
        <f>VLOOKUP('Tabel-bantuan'!B8,'Tabel-bantuan'!A53:H90,8,FALSE)</f>
        <v>16341.55</v>
      </c>
      <c r="F46" s="43"/>
      <c r="G46" s="9"/>
      <c r="H46" s="38" t="str">
        <f>"Menyumbang " &amp; VLOOKUP('Tabel-bantuan'!B8,'Tabel-bantuan'!A53:K90,11,FALSE) &amp; " Pasokan Nasional"</f>
        <v>Menyumbang 0,67% Pasokan Nasional</v>
      </c>
      <c r="I46" s="38"/>
      <c r="J46" s="38"/>
      <c r="K46" s="38"/>
      <c r="L46" s="38"/>
      <c r="N46" s="38" t="str">
        <f xml:space="preserve"> 'Tabel-bantuan'!H8 &amp; " dari " &amp; 'Tabel-bantuan'!E7 &amp; " Provinsi di Pulau " &amp; 'Tabel-bantuan'!B9</f>
        <v>8 dari 10 Provinsi di Pulau SUMATERA</v>
      </c>
      <c r="O46" s="38"/>
      <c r="P46" s="38"/>
      <c r="Q46" s="38"/>
    </row>
    <row r="47" spans="5:17" ht="16" customHeight="1" x14ac:dyDescent="0.2">
      <c r="E47" s="43"/>
      <c r="F47" s="43"/>
      <c r="G47" s="9"/>
      <c r="H47" s="38"/>
      <c r="I47" s="38"/>
      <c r="J47" s="38"/>
      <c r="K47" s="38"/>
      <c r="L47" s="38"/>
      <c r="N47" s="38"/>
      <c r="O47" s="38"/>
      <c r="P47" s="38"/>
      <c r="Q47" s="38"/>
    </row>
    <row r="49" spans="5:18" ht="23" customHeight="1" x14ac:dyDescent="0.2">
      <c r="E49" s="37" t="s">
        <v>59</v>
      </c>
      <c r="F49" s="37"/>
      <c r="G49" s="24"/>
      <c r="H49" s="37" t="s">
        <v>62</v>
      </c>
      <c r="I49" s="37"/>
      <c r="J49" s="37"/>
      <c r="K49" s="37"/>
      <c r="L49" s="37"/>
      <c r="N49" s="41" t="str">
        <f>'Tabel-bantuan'!B8</f>
        <v>BENGKULU</v>
      </c>
      <c r="O49" s="41"/>
      <c r="P49" s="41"/>
      <c r="Q49" s="41"/>
      <c r="R49" s="30"/>
    </row>
    <row r="50" spans="5:18" ht="16" customHeight="1" x14ac:dyDescent="0.2">
      <c r="E50" s="38" t="str">
        <f>VLOOKUP('Tabel-bantuan'!B8,'Tabel-bantuan'!A53:I90,9,FALSE) &amp; " dari 38 Provinsi"</f>
        <v>24 dari 38 Provinsi</v>
      </c>
      <c r="F50" s="38"/>
      <c r="G50" s="9"/>
      <c r="H50" s="38" t="str">
        <f xml:space="preserve"> VLOOKUP('Tabel-bantuan'!B8,'Tabel-bantuan'!A53:N90,12,FALSE) &amp; " Ton" &amp; " ( Tahun " &amp;  VLOOKUP('Tabel-bantuan'!B8,'Tabel-bantuan'!A53:N90,14,FALSE) &amp; " )"</f>
        <v>4348,01 Ton ( Tahun 2021 )</v>
      </c>
      <c r="I50" s="38"/>
      <c r="J50" s="38"/>
      <c r="K50" s="38"/>
      <c r="L50" s="38"/>
      <c r="N50" s="41"/>
      <c r="O50" s="41"/>
      <c r="P50" s="41"/>
      <c r="Q50" s="41"/>
      <c r="R50" s="30"/>
    </row>
    <row r="51" spans="5:18" ht="16" customHeight="1" x14ac:dyDescent="0.2">
      <c r="E51" s="38"/>
      <c r="F51" s="38"/>
      <c r="G51" s="9"/>
      <c r="H51" s="38"/>
      <c r="I51" s="38"/>
      <c r="J51" s="38"/>
      <c r="K51" s="38"/>
      <c r="L51" s="38"/>
      <c r="N51" s="41"/>
      <c r="O51" s="41"/>
      <c r="P51" s="41"/>
      <c r="Q51" s="41"/>
      <c r="R51" s="30"/>
    </row>
  </sheetData>
  <mergeCells count="27">
    <mergeCell ref="B6:F7"/>
    <mergeCell ref="N49:Q51"/>
    <mergeCell ref="B24:Q25"/>
    <mergeCell ref="H45:L45"/>
    <mergeCell ref="H46:L47"/>
    <mergeCell ref="H49:L49"/>
    <mergeCell ref="H50:L51"/>
    <mergeCell ref="E46:F47"/>
    <mergeCell ref="E45:F45"/>
    <mergeCell ref="E49:F49"/>
    <mergeCell ref="E50:F51"/>
    <mergeCell ref="L6:Q7"/>
    <mergeCell ref="B2:Q4"/>
    <mergeCell ref="M26:Q27"/>
    <mergeCell ref="N45:Q45"/>
    <mergeCell ref="N46:Q47"/>
    <mergeCell ref="H20:J20"/>
    <mergeCell ref="H21:J21"/>
    <mergeCell ref="H22:J22"/>
    <mergeCell ref="H19:J19"/>
    <mergeCell ref="H18:J18"/>
    <mergeCell ref="H6:J6"/>
    <mergeCell ref="H7:J8"/>
    <mergeCell ref="H10:J10"/>
    <mergeCell ref="H11:J12"/>
    <mergeCell ref="H14:J14"/>
    <mergeCell ref="H15:J16"/>
  </mergeCells>
  <pageMargins left="0.7" right="0.7" top="0.75" bottom="0.75" header="0.3" footer="0.3"/>
  <pageSetup paperSize="9" scale="40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3" name="List Box 5">
              <controlPr defaultSize="0" autoLine="0" autoPict="0">
                <anchor moveWithCells="1">
                  <from>
                    <xdr:col>1</xdr:col>
                    <xdr:colOff>0</xdr:colOff>
                    <xdr:row>25</xdr:row>
                    <xdr:rowOff>25400</xdr:rowOff>
                  </from>
                  <to>
                    <xdr:col>3</xdr:col>
                    <xdr:colOff>12700</xdr:colOff>
                    <xdr:row>51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Tabel-bantuan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Geis khafiyya</dc:creator>
  <cp:lastModifiedBy>Geis khafiyya</cp:lastModifiedBy>
  <dcterms:created xsi:type="dcterms:W3CDTF">2026-04-08T13:06:37Z</dcterms:created>
  <dcterms:modified xsi:type="dcterms:W3CDTF">2026-07-19T02:09:19Z</dcterms:modified>
</cp:coreProperties>
</file>